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Supuestos" sheetId="2" r:id="rId6"/>
    <sheet state="visible" name="Flujo de fondos" sheetId="3" r:id="rId7"/>
    <sheet state="visible" name="Justificación" sheetId="4" r:id="rId8"/>
  </sheets>
  <definedNames>
    <definedName name="recupero_kt">Supuestos!$B$28</definedName>
    <definedName name="clientes_a2">Supuestos!$B$8</definedName>
    <definedName name="clientes_a1">Supuestos!$B$7</definedName>
    <definedName name="mkt_a2">Supuestos!$B$17</definedName>
    <definedName name="valor_residual">Supuestos!$B$29</definedName>
    <definedName name="cv_unit">Supuestos!$B$12</definedName>
    <definedName name="mkt_a1">Supuestos!$B$16</definedName>
    <definedName name="clientes_a3">Supuestos!$B$9</definedName>
    <definedName name="gf_a3">Supuestos!$B$15</definedName>
    <definedName name="depreciacion">Supuestos!$B$26</definedName>
    <definedName name="kt_inicial">Supuestos!$B$23</definedName>
    <definedName name="gf_a2">Supuestos!$B$14</definedName>
    <definedName name="gf_a1">Supuestos!$B$13</definedName>
    <definedName name="tasa_imp">Supuestos!$B$27</definedName>
    <definedName name="precio_mensual">Supuestos!$B$10</definedName>
    <definedName name="inv_inicial">Supuestos!$B$24</definedName>
    <definedName name="mkt_a3">Supuestos!$B$18</definedName>
  </definedNames>
  <calcPr/>
</workbook>
</file>

<file path=xl/sharedStrings.xml><?xml version="1.0" encoding="utf-8"?>
<sst xmlns="http://schemas.openxmlformats.org/spreadsheetml/2006/main" count="96" uniqueCount="91">
  <si>
    <t>Universidad Tecnológica Nacional</t>
  </si>
  <si>
    <t>Facultad Regional San Rafael</t>
  </si>
  <si>
    <t>Primer armado de flujo de fondos del proyecto
Caso: CRM simple para PyMEs de servicios</t>
  </si>
  <si>
    <t>Materia:</t>
  </si>
  <si>
    <t>Sistemas de Gestión</t>
  </si>
  <si>
    <t>Unidad:</t>
  </si>
  <si>
    <t xml:space="preserve">Unidad 4 </t>
  </si>
  <si>
    <t>Actividad:</t>
  </si>
  <si>
    <t>Primer armado de flujo de fondos del proyecto</t>
  </si>
  <si>
    <t>Año / Cuatrimestre:</t>
  </si>
  <si>
    <t>2026 — 1° Cuatrimestre</t>
  </si>
  <si>
    <t>Integrantes del grupo</t>
  </si>
  <si>
    <t>Lepez, Joaquín</t>
  </si>
  <si>
    <t>López, Juan</t>
  </si>
  <si>
    <t>Geyer, Juan</t>
  </si>
  <si>
    <t>Sorato, Emiliano</t>
  </si>
  <si>
    <t>Hoja 1 — Supuestos del proyecto</t>
  </si>
  <si>
    <t>Datos provistos por la consigna, agrupados según su naturaleza. Cada cifra del flujo de fondos referencia una celda de esta hoja mediante rangos nombrados (trazabilidad).</t>
  </si>
  <si>
    <t>Concepto</t>
  </si>
  <si>
    <t>Dato</t>
  </si>
  <si>
    <t>Comerciales</t>
  </si>
  <si>
    <t>Horizonte de evaluación</t>
  </si>
  <si>
    <t>3 años</t>
  </si>
  <si>
    <t>Clientes estimados año 1</t>
  </si>
  <si>
    <t>Clientes estimados año 2</t>
  </si>
  <si>
    <t>Clientes estimados año 3</t>
  </si>
  <si>
    <t>Precio mensual por cliente</t>
  </si>
  <si>
    <t>Operativos</t>
  </si>
  <si>
    <t>Costo variable anual por cliente</t>
  </si>
  <si>
    <t>Gastos operativos fijos año 1</t>
  </si>
  <si>
    <t>Gastos operativos fijos año 2</t>
  </si>
  <si>
    <t>Gastos operativos fijos año 3</t>
  </si>
  <si>
    <t>Marketing y comercialización año 1</t>
  </si>
  <si>
    <t>Marketing y comercialización año 2</t>
  </si>
  <si>
    <t>Marketing y comercialización año 3</t>
  </si>
  <si>
    <t>De inversión (momento 0)</t>
  </si>
  <si>
    <t>Desarrollo / configuración inicial</t>
  </si>
  <si>
    <t>Equipamiento / licencias iniciales</t>
  </si>
  <si>
    <t>Capacitación inicial</t>
  </si>
  <si>
    <t>Capital de trabajo inicial</t>
  </si>
  <si>
    <t>Inversión inicial total (sin K. de trabajo)</t>
  </si>
  <si>
    <t>Fiscales y de cierre</t>
  </si>
  <si>
    <t>Depreciación anual</t>
  </si>
  <si>
    <t>Impuesto a las ganancias</t>
  </si>
  <si>
    <t>Recupero de capital de trabajo (año 3)</t>
  </si>
  <si>
    <t>Valor residual (año 3)</t>
  </si>
  <si>
    <t>Hoja 2 — Flujo de fondos del proyecto</t>
  </si>
  <si>
    <t>Flujo proyectado a 3 años. Las celdas numéricas son fórmulas que referencian los rangos nombrados de la hoja Supuestos. Modificando un dato en Supuestos, el flujo se recalcula automáticamente. La columna 'Cálculo' explica brevemente cómo se obtiene cada fila.</t>
  </si>
  <si>
    <t>Año 0</t>
  </si>
  <si>
    <t>Año 1</t>
  </si>
  <si>
    <t>Año 2</t>
  </si>
  <si>
    <t>Año 3</t>
  </si>
  <si>
    <t>Cálculo</t>
  </si>
  <si>
    <t>Ingresos operativos</t>
  </si>
  <si>
    <t>cantidad de clientes × precio mensual × 12</t>
  </si>
  <si>
    <t>(−) Costos variables</t>
  </si>
  <si>
    <t>cantidad de clientes × costo variable anual por cliente</t>
  </si>
  <si>
    <t>(−) Gastos operativos fijos</t>
  </si>
  <si>
    <t>dato fijo definido para cada año en Supuestos</t>
  </si>
  <si>
    <t>(−) Marketing y comercialización</t>
  </si>
  <si>
    <t>(−) Depreciación</t>
  </si>
  <si>
    <t>depreciación anual constante (Supuestos)</t>
  </si>
  <si>
    <t>Resultado antes de impuestos</t>
  </si>
  <si>
    <t>Ingresos − Costos var. − Gastos fijos − Marketing − Depreciación</t>
  </si>
  <si>
    <t>(−) Impuesto a las ganancias</t>
  </si>
  <si>
    <t>Resultado antes de impuestos × 30%</t>
  </si>
  <si>
    <t>Resultado neto</t>
  </si>
  <si>
    <t>Resultado antes de impuestos − Impuesto a las ganancias</t>
  </si>
  <si>
    <t>(+) Depreciación (ajuste, no es egreso real)</t>
  </si>
  <si>
    <t>se vuelve a sumar porque no es una salida real de caja</t>
  </si>
  <si>
    <t>(−) Inversión inicial</t>
  </si>
  <si>
    <t>desarrollo + equipamiento/licencias + capacitación (momento 0)</t>
  </si>
  <si>
    <t>(−) Capital de trabajo</t>
  </si>
  <si>
    <t>capital necesario para iniciar la operación (momento 0)</t>
  </si>
  <si>
    <t>(+) Recupero de capital de trabajo</t>
  </si>
  <si>
    <t>se recupera al final del horizonte de evaluación</t>
  </si>
  <si>
    <t>(+) Valor residual</t>
  </si>
  <si>
    <t>valor de salvamento del proyecto al cierre</t>
  </si>
  <si>
    <t>FLUJO NETO DE FONDOS</t>
  </si>
  <si>
    <t>Resultado neto + Depreciación ± Inversiones ± Recupero ± Valor residual</t>
  </si>
  <si>
    <t>Trazabilidad de los cálculos clave</t>
  </si>
  <si>
    <t>Variable</t>
  </si>
  <si>
    <t>Clientes × precio mensual × 12 = Ingresos</t>
  </si>
  <si>
    <t>Clientes × costo variable unitario = Costo variable</t>
  </si>
  <si>
    <t>RAI × 30% = Impuesto</t>
  </si>
  <si>
    <t>Hoja 3 — Justificación breve</t>
  </si>
  <si>
    <r>
      <rPr>
        <rFont val="Calibri"/>
        <b/>
        <color theme="1"/>
        <sz val="11.0"/>
      </rPr>
      <t xml:space="preserve">• Principales ingresos del proyecto: </t>
    </r>
    <r>
      <rPr>
        <rFont val="Calibri"/>
        <color theme="1"/>
        <sz val="11.0"/>
      </rPr>
      <t>provienen de las suscripciones mensuales al CRM (clientes × $25.000 × 12 meses). Crecen año a año porque la cartera pasa de 30 a 45 y luego a 60 clientes.</t>
    </r>
  </si>
  <si>
    <r>
      <rPr>
        <rFont val="Calibri"/>
        <b/>
        <color theme="1"/>
        <sz val="11.0"/>
      </rPr>
      <t xml:space="preserve">• Principales egresos: </t>
    </r>
    <r>
      <rPr>
        <rFont val="Calibri"/>
        <color theme="1"/>
        <sz val="11.0"/>
      </rPr>
      <t>el costo variable por cliente, los gastos operativos fijos, los gastos de marketing y el impuesto a las ganancias. En el momento 0 también se computa la inversión inicial en desarrollo, equipamiento, licencias y capacitación, junto con el capital de trabajo.</t>
    </r>
  </si>
  <si>
    <r>
      <rPr>
        <rFont val="Calibri"/>
        <b/>
        <color theme="1"/>
        <sz val="11.0"/>
      </rPr>
      <t xml:space="preserve">• Conceptos del momento 0: </t>
    </r>
    <r>
      <rPr>
        <rFont val="Calibri"/>
        <color theme="1"/>
        <sz val="11.0"/>
      </rPr>
      <t>desarrollo/configuración ($1.600.000), equipamiento/licencias ($400.000), capacitación ($250.000) y capital de trabajo ($300.000), totalizando un egreso inicial de $2.550.000.</t>
    </r>
  </si>
  <si>
    <r>
      <rPr>
        <rFont val="Calibri"/>
        <b/>
        <color theme="1"/>
        <sz val="11.0"/>
      </rPr>
      <t xml:space="preserve">• Por qué la depreciación se resta y luego se suma: </t>
    </r>
    <r>
      <rPr>
        <rFont val="Calibri"/>
        <color theme="1"/>
        <sz val="11.0"/>
      </rPr>
      <t>se resta porque es un gasto contable deducible que reduce la base imponible y, por lo tanto, los impuestos a pagar (escudo fiscal). Pero no constituye una salida real de dinero, por lo que se vuelve a sumar al resultado neto para reflejar correctamente el flujo de caja efectivo.</t>
    </r>
  </si>
  <si>
    <r>
      <rPr>
        <rFont val="Calibri"/>
        <b/>
        <color theme="1"/>
        <sz val="11.0"/>
      </rPr>
      <t xml:space="preserve">• Qué representa el flujo neto final: </t>
    </r>
    <r>
      <rPr>
        <rFont val="Calibri"/>
        <color theme="1"/>
        <sz val="11.0"/>
      </rPr>
      <t>es el dinero efectivo (cash flow) disponible para el proyecto al cierre de cada período, una vez cubiertos costos, gastos, impuestos e inversiones. Es el insumo base para calcular los indicadores de rentabilidad (VAN, TIR, B/C) en la próxima etapa.</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</si>
</sst>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quot;-&quot;"/>
    <numFmt numFmtId="165" formatCode="&quot;$&quot; #,##0;&quot;$&quot; -#,##0;&quot;-&quot;"/>
  </numFmts>
  <fonts count="14">
    <font>
      <sz val="11.0"/>
      <color theme="1"/>
      <name val="Calibri"/>
      <scheme val="minor"/>
    </font>
    <font>
      <b/>
      <sz val="14.0"/>
      <color rgb="FF1F4E78"/>
      <name val="Calibri"/>
    </font>
    <font>
      <i/>
      <sz val="11.0"/>
      <color rgb="FF555555"/>
      <name val="Calibri"/>
    </font>
    <font>
      <b/>
      <sz val="28.0"/>
      <color rgb="FFFFFFFF"/>
      <name val="Calibri"/>
    </font>
    <font/>
    <font>
      <b/>
      <sz val="11.0"/>
      <color rgb="FF1F4E78"/>
      <name val="Calibri"/>
    </font>
    <font>
      <sz val="12.0"/>
      <color rgb="FF333333"/>
      <name val="Calibri"/>
    </font>
    <font>
      <b/>
      <sz val="12.0"/>
      <color rgb="FFFFFFFF"/>
      <name val="Calibri"/>
    </font>
    <font>
      <sz val="12.0"/>
      <color rgb="FF1F4E78"/>
      <name val="Calibri"/>
    </font>
    <font>
      <i/>
      <sz val="10.0"/>
      <color rgb="FF888888"/>
      <name val="Calibri"/>
    </font>
    <font>
      <sz val="11.0"/>
      <color theme="1"/>
      <name val="Calibri"/>
    </font>
    <font>
      <b/>
      <sz val="11.0"/>
      <color rgb="FFFFFFFF"/>
      <name val="Calibri"/>
    </font>
    <font>
      <b/>
      <sz val="11.0"/>
      <color theme="1"/>
      <name val="Calibri"/>
    </font>
    <font>
      <i/>
      <sz val="10.0"/>
      <color rgb="FF555555"/>
      <name val="Calibri"/>
    </font>
  </fonts>
  <fills count="7">
    <fill>
      <patternFill patternType="none"/>
    </fill>
    <fill>
      <patternFill patternType="lightGray"/>
    </fill>
    <fill>
      <patternFill patternType="solid">
        <fgColor rgb="FF1F4E78"/>
        <bgColor rgb="FF1F4E78"/>
      </patternFill>
    </fill>
    <fill>
      <patternFill patternType="solid">
        <fgColor rgb="FF2E75B6"/>
        <bgColor rgb="FF2E75B6"/>
      </patternFill>
    </fill>
    <fill>
      <patternFill patternType="solid">
        <fgColor rgb="FFEAF1F8"/>
        <bgColor rgb="FFEAF1F8"/>
      </patternFill>
    </fill>
    <fill>
      <patternFill patternType="solid">
        <fgColor rgb="FFD9E2F3"/>
        <bgColor rgb="FFD9E2F3"/>
      </patternFill>
    </fill>
    <fill>
      <patternFill patternType="solid">
        <fgColor rgb="FFC6E0B4"/>
        <bgColor rgb="FFC6E0B4"/>
      </patternFill>
    </fill>
  </fills>
  <borders count="16">
    <border/>
    <border>
      <left/>
      <top/>
    </border>
    <border>
      <top/>
    </border>
    <border>
      <right/>
      <top/>
    </border>
    <border>
      <left/>
    </border>
    <border>
      <right/>
    </border>
    <border>
      <left/>
      <bottom/>
    </border>
    <border>
      <bottom/>
    </border>
    <border>
      <right/>
      <bottom/>
    </border>
    <border>
      <left/>
      <top/>
      <bottom/>
    </border>
    <border>
      <top/>
      <bottom/>
    </border>
    <border>
      <right/>
      <top/>
      <bottom/>
    </border>
    <border>
      <bottom style="thin">
        <color rgb="FFC5D9EC"/>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0" fillId="0" fontId="5" numFmtId="0" xfId="0" applyAlignment="1" applyFont="1">
      <alignment horizontal="right" vertical="center"/>
    </xf>
    <xf borderId="0" fillId="0" fontId="6" numFmtId="0" xfId="0" applyAlignment="1" applyFont="1">
      <alignment horizontal="left" vertical="center"/>
    </xf>
    <xf borderId="0" fillId="0" fontId="6" numFmtId="0" xfId="0" applyAlignment="1" applyFont="1">
      <alignment horizontal="left" readingOrder="0" vertical="center"/>
    </xf>
    <xf borderId="9" fillId="3" fontId="7" numFmtId="0" xfId="0" applyAlignment="1" applyBorder="1" applyFill="1" applyFont="1">
      <alignment horizontal="center" shrinkToFit="0" vertical="center" wrapText="1"/>
    </xf>
    <xf borderId="10" fillId="0" fontId="4" numFmtId="0" xfId="0" applyBorder="1" applyFont="1"/>
    <xf borderId="11" fillId="0" fontId="4" numFmtId="0" xfId="0" applyBorder="1" applyFont="1"/>
    <xf borderId="12" fillId="4" fontId="8" numFmtId="0" xfId="0" applyAlignment="1" applyBorder="1" applyFill="1" applyFont="1">
      <alignment horizontal="center" shrinkToFit="0" vertical="center" wrapText="1"/>
    </xf>
    <xf borderId="12" fillId="0" fontId="4" numFmtId="0" xfId="0" applyBorder="1" applyFont="1"/>
    <xf borderId="0" fillId="0" fontId="9" numFmtId="0" xfId="0" applyAlignment="1" applyFont="1">
      <alignment horizontal="center" vertical="center"/>
    </xf>
    <xf borderId="0" fillId="0" fontId="1" numFmtId="0" xfId="0" applyFont="1"/>
    <xf borderId="0" fillId="0" fontId="10" numFmtId="0" xfId="0" applyAlignment="1" applyFont="1">
      <alignment shrinkToFit="0" vertical="center" wrapText="1"/>
    </xf>
    <xf borderId="13" fillId="2" fontId="11" numFmtId="0" xfId="0" applyAlignment="1" applyBorder="1" applyFont="1">
      <alignment horizontal="center" vertical="center"/>
    </xf>
    <xf borderId="14" fillId="5" fontId="12" numFmtId="0" xfId="0" applyAlignment="1" applyBorder="1" applyFill="1" applyFont="1">
      <alignment horizontal="left" shrinkToFit="0" vertical="center" wrapText="1"/>
    </xf>
    <xf borderId="15" fillId="0" fontId="4" numFmtId="0" xfId="0" applyBorder="1" applyFont="1"/>
    <xf borderId="13" fillId="0" fontId="10" numFmtId="0" xfId="0" applyBorder="1" applyFont="1"/>
    <xf borderId="13" fillId="0" fontId="10" numFmtId="0" xfId="0" applyAlignment="1" applyBorder="1" applyFont="1">
      <alignment horizontal="right" vertical="center"/>
    </xf>
    <xf borderId="13" fillId="0" fontId="10" numFmtId="164" xfId="0" applyAlignment="1" applyBorder="1" applyFont="1" applyNumberFormat="1">
      <alignment horizontal="right" vertical="center"/>
    </xf>
    <xf borderId="13" fillId="0" fontId="10" numFmtId="165" xfId="0" applyAlignment="1" applyBorder="1" applyFont="1" applyNumberFormat="1">
      <alignment horizontal="right" vertical="center"/>
    </xf>
    <xf borderId="13" fillId="0" fontId="10" numFmtId="9" xfId="0" applyAlignment="1" applyBorder="1" applyFont="1" applyNumberFormat="1">
      <alignment horizontal="right" vertical="center"/>
    </xf>
    <xf borderId="13" fillId="0" fontId="10" numFmtId="0" xfId="0" applyAlignment="1" applyBorder="1" applyFont="1">
      <alignment horizontal="left" shrinkToFit="0" vertical="center" wrapText="1"/>
    </xf>
    <xf borderId="13" fillId="0" fontId="13" numFmtId="0" xfId="0" applyAlignment="1" applyBorder="1" applyFont="1">
      <alignment horizontal="left" shrinkToFit="0" vertical="center" wrapText="1"/>
    </xf>
    <xf borderId="13" fillId="4" fontId="12" numFmtId="0" xfId="0" applyAlignment="1" applyBorder="1" applyFont="1">
      <alignment horizontal="left" shrinkToFit="0" vertical="center" wrapText="1"/>
    </xf>
    <xf borderId="13" fillId="4" fontId="12" numFmtId="165" xfId="0" applyAlignment="1" applyBorder="1" applyFont="1" applyNumberFormat="1">
      <alignment horizontal="right" vertical="center"/>
    </xf>
    <xf borderId="13" fillId="6" fontId="12" numFmtId="0" xfId="0" applyAlignment="1" applyBorder="1" applyFill="1" applyFont="1">
      <alignment horizontal="left" shrinkToFit="0" vertical="center" wrapText="1"/>
    </xf>
    <xf borderId="13" fillId="6" fontId="12" numFmtId="165" xfId="0" applyAlignment="1" applyBorder="1" applyFont="1" applyNumberFormat="1">
      <alignment horizontal="right" vertical="center"/>
    </xf>
    <xf borderId="0" fillId="0" fontId="10"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7" width="16.0"/>
    <col customWidth="1" min="8" max="26" width="8.71"/>
  </cols>
  <sheetData>
    <row r="2" ht="21.75" customHeight="1">
      <c r="B2" s="1" t="s">
        <v>0</v>
      </c>
    </row>
    <row r="3" ht="18.0" customHeight="1">
      <c r="B3" s="2" t="s">
        <v>1</v>
      </c>
    </row>
    <row r="5" ht="27.75" customHeight="1">
      <c r="B5" s="3" t="s">
        <v>2</v>
      </c>
      <c r="C5" s="4"/>
      <c r="D5" s="4"/>
      <c r="E5" s="4"/>
      <c r="F5" s="4"/>
      <c r="G5" s="5"/>
    </row>
    <row r="6" ht="37.5" customHeight="1">
      <c r="B6" s="6"/>
      <c r="G6" s="7"/>
    </row>
    <row r="7" ht="27.75" customHeight="1">
      <c r="B7" s="6"/>
      <c r="G7" s="7"/>
    </row>
    <row r="8" ht="27.75" customHeight="1">
      <c r="B8" s="6"/>
      <c r="G8" s="7"/>
    </row>
    <row r="9" ht="27.75" customHeight="1">
      <c r="B9" s="6"/>
      <c r="G9" s="7"/>
    </row>
    <row r="10" ht="27.75" customHeight="1">
      <c r="B10" s="8"/>
      <c r="C10" s="9"/>
      <c r="D10" s="9"/>
      <c r="E10" s="9"/>
      <c r="F10" s="9"/>
      <c r="G10" s="10"/>
    </row>
    <row r="13" ht="19.5" customHeight="1">
      <c r="B13" s="11" t="s">
        <v>3</v>
      </c>
      <c r="D13" s="12" t="s">
        <v>4</v>
      </c>
    </row>
    <row r="14" ht="19.5" customHeight="1">
      <c r="B14" s="11" t="s">
        <v>5</v>
      </c>
      <c r="D14" s="13" t="s">
        <v>6</v>
      </c>
    </row>
    <row r="15" ht="19.5" customHeight="1">
      <c r="B15" s="11" t="s">
        <v>7</v>
      </c>
      <c r="D15" s="12" t="s">
        <v>8</v>
      </c>
    </row>
    <row r="16" ht="19.5" customHeight="1">
      <c r="B16" s="11" t="s">
        <v>9</v>
      </c>
      <c r="D16" s="12" t="s">
        <v>10</v>
      </c>
    </row>
    <row r="19" ht="27.75" customHeight="1">
      <c r="B19" s="14" t="s">
        <v>11</v>
      </c>
      <c r="C19" s="15"/>
      <c r="D19" s="15"/>
      <c r="E19" s="15"/>
      <c r="F19" s="15"/>
      <c r="G19" s="16"/>
    </row>
    <row r="20" ht="24.0" customHeight="1">
      <c r="B20" s="17" t="s">
        <v>12</v>
      </c>
      <c r="C20" s="18"/>
      <c r="D20" s="18"/>
      <c r="E20" s="18"/>
      <c r="F20" s="18"/>
      <c r="G20" s="18"/>
    </row>
    <row r="21" ht="24.0" customHeight="1">
      <c r="B21" s="17" t="s">
        <v>13</v>
      </c>
      <c r="C21" s="18"/>
      <c r="D21" s="18"/>
      <c r="E21" s="18"/>
      <c r="F21" s="18"/>
      <c r="G21" s="18"/>
    </row>
    <row r="22" ht="24.0" customHeight="1">
      <c r="B22" s="17" t="s">
        <v>14</v>
      </c>
      <c r="C22" s="18"/>
      <c r="D22" s="18"/>
      <c r="E22" s="18"/>
      <c r="F22" s="18"/>
      <c r="G22" s="18"/>
    </row>
    <row r="23" ht="24.0" customHeight="1">
      <c r="B23" s="17" t="s">
        <v>15</v>
      </c>
      <c r="C23" s="18"/>
      <c r="D23" s="18"/>
      <c r="E23" s="18"/>
      <c r="F23" s="18"/>
      <c r="G23" s="18"/>
    </row>
    <row r="24" ht="15.75" customHeight="1"/>
    <row r="25" ht="15.75" customHeight="1"/>
    <row r="26" ht="15.75" customHeight="1">
      <c r="B26" s="1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2:G2"/>
    <mergeCell ref="B3:G3"/>
    <mergeCell ref="B5:G10"/>
    <mergeCell ref="B13:C13"/>
    <mergeCell ref="D13:G13"/>
    <mergeCell ref="B14:C14"/>
    <mergeCell ref="D14:G14"/>
    <mergeCell ref="B22:G22"/>
    <mergeCell ref="B23:G23"/>
    <mergeCell ref="B26:G26"/>
    <mergeCell ref="B15:C15"/>
    <mergeCell ref="D15:G15"/>
    <mergeCell ref="B16:C16"/>
    <mergeCell ref="D16:G16"/>
    <mergeCell ref="B19:G19"/>
    <mergeCell ref="B20:G20"/>
    <mergeCell ref="B21:G2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0"/>
    <col customWidth="1" min="2" max="2" width="20.0"/>
    <col customWidth="1" min="3" max="26" width="8.71"/>
  </cols>
  <sheetData>
    <row r="1">
      <c r="A1" s="20" t="s">
        <v>16</v>
      </c>
    </row>
    <row r="2">
      <c r="A2" s="21" t="s">
        <v>17</v>
      </c>
    </row>
    <row r="4">
      <c r="A4" s="22" t="s">
        <v>18</v>
      </c>
      <c r="B4" s="22" t="s">
        <v>19</v>
      </c>
    </row>
    <row r="5">
      <c r="A5" s="23" t="s">
        <v>20</v>
      </c>
      <c r="B5" s="24"/>
    </row>
    <row r="6">
      <c r="A6" s="25" t="s">
        <v>21</v>
      </c>
      <c r="B6" s="26" t="s">
        <v>22</v>
      </c>
    </row>
    <row r="7">
      <c r="A7" s="25" t="s">
        <v>23</v>
      </c>
      <c r="B7" s="27">
        <v>30.0</v>
      </c>
    </row>
    <row r="8">
      <c r="A8" s="25" t="s">
        <v>24</v>
      </c>
      <c r="B8" s="27">
        <v>45.0</v>
      </c>
    </row>
    <row r="9">
      <c r="A9" s="25" t="s">
        <v>25</v>
      </c>
      <c r="B9" s="27">
        <v>60.0</v>
      </c>
    </row>
    <row r="10">
      <c r="A10" s="25" t="s">
        <v>26</v>
      </c>
      <c r="B10" s="28">
        <v>25000.0</v>
      </c>
    </row>
    <row r="11">
      <c r="A11" s="23" t="s">
        <v>27</v>
      </c>
      <c r="B11" s="24"/>
    </row>
    <row r="12">
      <c r="A12" s="25" t="s">
        <v>28</v>
      </c>
      <c r="B12" s="28">
        <v>60000.0</v>
      </c>
    </row>
    <row r="13">
      <c r="A13" s="25" t="s">
        <v>29</v>
      </c>
      <c r="B13" s="28">
        <v>2200000.0</v>
      </c>
    </row>
    <row r="14">
      <c r="A14" s="25" t="s">
        <v>30</v>
      </c>
      <c r="B14" s="28">
        <v>2600000.0</v>
      </c>
    </row>
    <row r="15">
      <c r="A15" s="25" t="s">
        <v>31</v>
      </c>
      <c r="B15" s="28">
        <v>3100000.0</v>
      </c>
    </row>
    <row r="16">
      <c r="A16" s="25" t="s">
        <v>32</v>
      </c>
      <c r="B16" s="28">
        <v>600000.0</v>
      </c>
    </row>
    <row r="17">
      <c r="A17" s="25" t="s">
        <v>33</v>
      </c>
      <c r="B17" s="28">
        <v>800000.0</v>
      </c>
    </row>
    <row r="18">
      <c r="A18" s="25" t="s">
        <v>34</v>
      </c>
      <c r="B18" s="28">
        <v>1000000.0</v>
      </c>
    </row>
    <row r="19">
      <c r="A19" s="23" t="s">
        <v>35</v>
      </c>
      <c r="B19" s="24"/>
    </row>
    <row r="20">
      <c r="A20" s="25" t="s">
        <v>36</v>
      </c>
      <c r="B20" s="28">
        <v>1600000.0</v>
      </c>
    </row>
    <row r="21" ht="15.75" customHeight="1">
      <c r="A21" s="25" t="s">
        <v>37</v>
      </c>
      <c r="B21" s="28">
        <v>400000.0</v>
      </c>
    </row>
    <row r="22" ht="15.75" customHeight="1">
      <c r="A22" s="25" t="s">
        <v>38</v>
      </c>
      <c r="B22" s="28">
        <v>250000.0</v>
      </c>
    </row>
    <row r="23" ht="15.75" customHeight="1">
      <c r="A23" s="25" t="s">
        <v>39</v>
      </c>
      <c r="B23" s="28">
        <v>300000.0</v>
      </c>
    </row>
    <row r="24" ht="15.75" customHeight="1">
      <c r="A24" s="25" t="s">
        <v>40</v>
      </c>
      <c r="B24" s="28">
        <v>2250000.0</v>
      </c>
    </row>
    <row r="25" ht="15.75" customHeight="1">
      <c r="A25" s="23" t="s">
        <v>41</v>
      </c>
      <c r="B25" s="24"/>
    </row>
    <row r="26" ht="15.75" customHeight="1">
      <c r="A26" s="25" t="s">
        <v>42</v>
      </c>
      <c r="B26" s="28">
        <v>666667.0</v>
      </c>
    </row>
    <row r="27" ht="15.75" customHeight="1">
      <c r="A27" s="25" t="s">
        <v>43</v>
      </c>
      <c r="B27" s="29">
        <v>0.3</v>
      </c>
    </row>
    <row r="28" ht="15.75" customHeight="1">
      <c r="A28" s="25" t="s">
        <v>44</v>
      </c>
      <c r="B28" s="28">
        <v>300000.0</v>
      </c>
    </row>
    <row r="29" ht="15.75" customHeight="1">
      <c r="A29" s="25" t="s">
        <v>45</v>
      </c>
      <c r="B29" s="28">
        <v>500000.0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2:B2"/>
    <mergeCell ref="A5:B5"/>
    <mergeCell ref="A11:B11"/>
    <mergeCell ref="A19:B19"/>
    <mergeCell ref="A25:B2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5" width="16.0"/>
    <col customWidth="1" min="6" max="6" width="60.0"/>
    <col customWidth="1" min="7" max="26" width="8.71"/>
  </cols>
  <sheetData>
    <row r="1">
      <c r="A1" s="20" t="s">
        <v>46</v>
      </c>
    </row>
    <row r="2" ht="36.0" customHeight="1">
      <c r="A2" s="21" t="s">
        <v>47</v>
      </c>
    </row>
    <row r="4">
      <c r="A4" s="22" t="s">
        <v>18</v>
      </c>
      <c r="B4" s="22" t="s">
        <v>48</v>
      </c>
      <c r="C4" s="22" t="s">
        <v>49</v>
      </c>
      <c r="D4" s="22" t="s">
        <v>50</v>
      </c>
      <c r="E4" s="22" t="s">
        <v>51</v>
      </c>
      <c r="F4" s="22" t="s">
        <v>52</v>
      </c>
    </row>
    <row r="5">
      <c r="A5" s="30" t="s">
        <v>53</v>
      </c>
      <c r="B5" s="28"/>
      <c r="C5" s="28">
        <f>clientes_a1*precio_mensual*12</f>
        <v>9000000</v>
      </c>
      <c r="D5" s="28">
        <f>clientes_a2*precio_mensual*12</f>
        <v>13500000</v>
      </c>
      <c r="E5" s="28">
        <f>clientes_a3*precio_mensual*12</f>
        <v>18000000</v>
      </c>
      <c r="F5" s="31" t="s">
        <v>54</v>
      </c>
    </row>
    <row r="6">
      <c r="A6" s="30" t="s">
        <v>55</v>
      </c>
      <c r="B6" s="28"/>
      <c r="C6" s="28">
        <f>-clientes_a1*cv_unit</f>
        <v>-1800000</v>
      </c>
      <c r="D6" s="28">
        <f>-clientes_a2*cv_unit</f>
        <v>-2700000</v>
      </c>
      <c r="E6" s="28">
        <f>-clientes_a3*cv_unit</f>
        <v>-3600000</v>
      </c>
      <c r="F6" s="31" t="s">
        <v>56</v>
      </c>
    </row>
    <row r="7">
      <c r="A7" s="30" t="s">
        <v>57</v>
      </c>
      <c r="B7" s="28"/>
      <c r="C7" s="28">
        <f>-gf_a1</f>
        <v>-2200000</v>
      </c>
      <c r="D7" s="28">
        <f>-gf_a2</f>
        <v>-2600000</v>
      </c>
      <c r="E7" s="28">
        <f>-gf_a3</f>
        <v>-3100000</v>
      </c>
      <c r="F7" s="31" t="s">
        <v>58</v>
      </c>
    </row>
    <row r="8">
      <c r="A8" s="30" t="s">
        <v>59</v>
      </c>
      <c r="B8" s="28"/>
      <c r="C8" s="28">
        <f>-mkt_a1</f>
        <v>-600000</v>
      </c>
      <c r="D8" s="28">
        <f>-mkt_a2</f>
        <v>-800000</v>
      </c>
      <c r="E8" s="28">
        <f>-mkt_a3</f>
        <v>-1000000</v>
      </c>
      <c r="F8" s="31" t="s">
        <v>58</v>
      </c>
    </row>
    <row r="9">
      <c r="A9" s="30" t="s">
        <v>60</v>
      </c>
      <c r="B9" s="28"/>
      <c r="C9" s="28">
        <f>-depreciacion</f>
        <v>-666667</v>
      </c>
      <c r="D9" s="28">
        <f>-depreciacion</f>
        <v>-666667</v>
      </c>
      <c r="E9" s="28">
        <f>-depreciacion</f>
        <v>-666667</v>
      </c>
      <c r="F9" s="31" t="s">
        <v>61</v>
      </c>
    </row>
    <row r="10">
      <c r="A10" s="32" t="s">
        <v>62</v>
      </c>
      <c r="B10" s="33"/>
      <c r="C10" s="33">
        <f t="shared" ref="C10:E10" si="1">SUM(C5:C9)</f>
        <v>3733333</v>
      </c>
      <c r="D10" s="33">
        <f t="shared" si="1"/>
        <v>6733333</v>
      </c>
      <c r="E10" s="33">
        <f t="shared" si="1"/>
        <v>9633333</v>
      </c>
      <c r="F10" s="32" t="s">
        <v>63</v>
      </c>
    </row>
    <row r="11">
      <c r="A11" s="30" t="s">
        <v>64</v>
      </c>
      <c r="B11" s="28"/>
      <c r="C11" s="28">
        <f>-C10*tasa_imp</f>
        <v>-1119999.9</v>
      </c>
      <c r="D11" s="28">
        <f>-D10*tasa_imp</f>
        <v>-2019999.9</v>
      </c>
      <c r="E11" s="28">
        <f>-E10*tasa_imp</f>
        <v>-2889999.9</v>
      </c>
      <c r="F11" s="31" t="s">
        <v>65</v>
      </c>
    </row>
    <row r="12">
      <c r="A12" s="32" t="s">
        <v>66</v>
      </c>
      <c r="B12" s="33"/>
      <c r="C12" s="33">
        <f t="shared" ref="C12:E12" si="2">C10+C11</f>
        <v>2613333.1</v>
      </c>
      <c r="D12" s="33">
        <f t="shared" si="2"/>
        <v>4713333.1</v>
      </c>
      <c r="E12" s="33">
        <f t="shared" si="2"/>
        <v>6743333.1</v>
      </c>
      <c r="F12" s="32" t="s">
        <v>67</v>
      </c>
    </row>
    <row r="13">
      <c r="A13" s="30" t="s">
        <v>68</v>
      </c>
      <c r="B13" s="28"/>
      <c r="C13" s="28">
        <f>depreciacion</f>
        <v>666667</v>
      </c>
      <c r="D13" s="28">
        <f>depreciacion</f>
        <v>666667</v>
      </c>
      <c r="E13" s="28">
        <f>depreciacion</f>
        <v>666667</v>
      </c>
      <c r="F13" s="31" t="s">
        <v>69</v>
      </c>
    </row>
    <row r="14">
      <c r="A14" s="30" t="s">
        <v>70</v>
      </c>
      <c r="B14" s="28">
        <f>-inv_inicial</f>
        <v>-2250000</v>
      </c>
      <c r="C14" s="28"/>
      <c r="D14" s="28"/>
      <c r="E14" s="28"/>
      <c r="F14" s="31" t="s">
        <v>71</v>
      </c>
    </row>
    <row r="15">
      <c r="A15" s="30" t="s">
        <v>72</v>
      </c>
      <c r="B15" s="28">
        <f>-kt_inicial</f>
        <v>-300000</v>
      </c>
      <c r="C15" s="28"/>
      <c r="D15" s="28"/>
      <c r="E15" s="28"/>
      <c r="F15" s="31" t="s">
        <v>73</v>
      </c>
    </row>
    <row r="16">
      <c r="A16" s="30" t="s">
        <v>74</v>
      </c>
      <c r="B16" s="28"/>
      <c r="C16" s="28"/>
      <c r="D16" s="28"/>
      <c r="E16" s="28">
        <f>recupero_kt</f>
        <v>300000</v>
      </c>
      <c r="F16" s="31" t="s">
        <v>75</v>
      </c>
    </row>
    <row r="17">
      <c r="A17" s="30" t="s">
        <v>76</v>
      </c>
      <c r="B17" s="28"/>
      <c r="C17" s="28"/>
      <c r="D17" s="28"/>
      <c r="E17" s="28">
        <f>valor_residual</f>
        <v>500000</v>
      </c>
      <c r="F17" s="31" t="s">
        <v>77</v>
      </c>
    </row>
    <row r="18">
      <c r="A18" s="34" t="s">
        <v>78</v>
      </c>
      <c r="B18" s="35">
        <f>SUM(B14:B15)</f>
        <v>-2550000</v>
      </c>
      <c r="C18" s="35">
        <f t="shared" ref="C18:E18" si="3">SUM(C12:C13)+SUM(C16:C17)</f>
        <v>3280000.1</v>
      </c>
      <c r="D18" s="35">
        <f t="shared" si="3"/>
        <v>5380000.1</v>
      </c>
      <c r="E18" s="35">
        <f t="shared" si="3"/>
        <v>8210000.1</v>
      </c>
      <c r="F18" s="34" t="s">
        <v>79</v>
      </c>
    </row>
    <row r="21" ht="15.75" customHeight="1">
      <c r="A21" s="20" t="s">
        <v>80</v>
      </c>
    </row>
    <row r="22" ht="15.75" customHeight="1">
      <c r="A22" s="22" t="s">
        <v>81</v>
      </c>
      <c r="B22" s="22" t="s">
        <v>49</v>
      </c>
      <c r="C22" s="22" t="s">
        <v>50</v>
      </c>
      <c r="D22" s="22" t="s">
        <v>51</v>
      </c>
    </row>
    <row r="23" ht="15.75" customHeight="1">
      <c r="A23" s="25" t="s">
        <v>82</v>
      </c>
      <c r="B23" s="28">
        <f>clientes_a1*precio_mensual*12</f>
        <v>9000000</v>
      </c>
      <c r="C23" s="28">
        <f>clientes_a2*precio_mensual*12</f>
        <v>13500000</v>
      </c>
      <c r="D23" s="28">
        <f>clientes_a3*precio_mensual*12</f>
        <v>18000000</v>
      </c>
    </row>
    <row r="24" ht="15.75" customHeight="1">
      <c r="A24" s="25" t="s">
        <v>83</v>
      </c>
      <c r="B24" s="28">
        <f>clientes_a1*cv_unit</f>
        <v>1800000</v>
      </c>
      <c r="C24" s="28">
        <f>clientes_a2*cv_unit</f>
        <v>2700000</v>
      </c>
      <c r="D24" s="28">
        <f>clientes_a3*cv_unit</f>
        <v>3600000</v>
      </c>
    </row>
    <row r="25" ht="15.75" customHeight="1">
      <c r="A25" s="25" t="s">
        <v>84</v>
      </c>
      <c r="B25" s="28">
        <f>C10*tasa_imp</f>
        <v>1119999.9</v>
      </c>
      <c r="C25" s="28">
        <f>D10*tasa_imp</f>
        <v>2019999.9</v>
      </c>
      <c r="D25" s="28">
        <f>E10*tasa_imp</f>
        <v>2889999.9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21:F2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20" t="s">
        <v>85</v>
      </c>
    </row>
    <row r="3" ht="48.0" customHeight="1">
      <c r="A3" s="36" t="s">
        <v>86</v>
      </c>
    </row>
    <row r="4" ht="48.0" customHeight="1">
      <c r="A4" s="36" t="s">
        <v>87</v>
      </c>
    </row>
    <row r="5" ht="48.0" customHeight="1">
      <c r="A5" s="36" t="s">
        <v>88</v>
      </c>
    </row>
    <row r="6" ht="48.0" customHeight="1">
      <c r="A6" s="36" t="s">
        <v>89</v>
      </c>
    </row>
    <row r="7" ht="48.0" customHeight="1">
      <c r="A7" s="36"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