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rsrutneduar-my.sharepoint.com/personal/44404575_alumnos_frsr_utn_edu_ar/Documents/UTN/5 AÑO/SISTEMAS DE GESTION/Unidad 2 - Elementos Financieros, Contables y Económicos/PRACTICA/Taller – Planilla mínima viable del proyecto/"/>
    </mc:Choice>
  </mc:AlternateContent>
  <xr:revisionPtr revIDLastSave="3" documentId="11_5C1E7F12C2170F0309302E751C5D49FB61FEF35A" xr6:coauthVersionLast="47" xr6:coauthVersionMax="47" xr10:uidLastSave="{768A2B8A-8956-466D-8431-1606BCB2D78E}"/>
  <bookViews>
    <workbookView xWindow="-98" yWindow="-98" windowWidth="21795" windowHeight="13695" xr2:uid="{00000000-000D-0000-FFFF-FFFF00000000}"/>
  </bookViews>
  <sheets>
    <sheet name="Activid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D15" i="2"/>
  <c r="C15" i="2"/>
  <c r="B15" i="2"/>
  <c r="E14" i="2"/>
  <c r="D14" i="2"/>
  <c r="C14" i="2"/>
  <c r="B14" i="2"/>
  <c r="E13" i="2"/>
  <c r="D13" i="2"/>
  <c r="C13" i="2"/>
  <c r="B13" i="2"/>
  <c r="C12" i="2"/>
  <c r="B12" i="2"/>
  <c r="D12" i="2" s="1"/>
  <c r="E12" i="2" s="1"/>
  <c r="G12" i="2" l="1"/>
  <c r="F12" i="2" a="1"/>
  <c r="F12" i="2" s="1"/>
</calcChain>
</file>

<file path=xl/sharedStrings.xml><?xml version="1.0" encoding="utf-8"?>
<sst xmlns="http://schemas.openxmlformats.org/spreadsheetml/2006/main" count="20" uniqueCount="20">
  <si>
    <t>Supuestos Basicos del proyecto</t>
  </si>
  <si>
    <t>Inversion inicial</t>
  </si>
  <si>
    <t>Ingresos por período</t>
  </si>
  <si>
    <t>Horizonte de evaluación</t>
  </si>
  <si>
    <t>4 años</t>
  </si>
  <si>
    <t>Costos variables totales</t>
  </si>
  <si>
    <t>Tasa de descuento</t>
  </si>
  <si>
    <t>Margen de contribución</t>
  </si>
  <si>
    <t>Cantidad estimada de ventas o servicios por período</t>
  </si>
  <si>
    <t>Flujo neto por período</t>
  </si>
  <si>
    <t>Precio unitario</t>
  </si>
  <si>
    <t>costo variable unitario</t>
  </si>
  <si>
    <t>TIR</t>
  </si>
  <si>
    <t>costos fijos por periodo</t>
  </si>
  <si>
    <t>valor residual</t>
  </si>
  <si>
    <t>VAN</t>
  </si>
  <si>
    <t>1° Periodo</t>
  </si>
  <si>
    <t>2° Periodo</t>
  </si>
  <si>
    <t>3° Periodo</t>
  </si>
  <si>
    <t>4°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</si>
</sst>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%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rgb="FFFFFFFF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1"/>
      <color rgb="FF1F1F1F"/>
      <name val="&quot;Google Sans&quot;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5" fontId="1" fillId="11" borderId="1" xfId="0" applyNumberFormat="1" applyFont="1" applyFill="1" applyBorder="1"/>
    <xf numFmtId="0" fontId="1" fillId="12" borderId="1" xfId="0" applyFont="1" applyFill="1" applyBorder="1" applyAlignment="1">
      <alignment horizontal="center"/>
    </xf>
    <xf numFmtId="10" fontId="1" fillId="13" borderId="1" xfId="0" applyNumberFormat="1" applyFont="1" applyFill="1" applyBorder="1" applyAlignment="1">
      <alignment horizontal="center"/>
    </xf>
    <xf numFmtId="0" fontId="1" fillId="14" borderId="1" xfId="0" applyFont="1" applyFill="1" applyBorder="1"/>
    <xf numFmtId="164" fontId="1" fillId="15" borderId="1" xfId="0" applyNumberFormat="1" applyFont="1" applyFill="1" applyBorder="1" applyAlignment="1">
      <alignment horizontal="center"/>
    </xf>
    <xf numFmtId="165" fontId="1" fillId="16" borderId="1" xfId="0" applyNumberFormat="1" applyFont="1" applyFill="1" applyBorder="1" applyAlignment="1">
      <alignment horizontal="center"/>
    </xf>
    <xf numFmtId="164" fontId="1" fillId="17" borderId="1" xfId="0" applyNumberFormat="1" applyFont="1" applyFill="1" applyBorder="1" applyAlignment="1">
      <alignment horizontal="center"/>
    </xf>
    <xf numFmtId="164" fontId="1" fillId="18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19" borderId="1" xfId="0" applyFont="1" applyFill="1" applyBorder="1"/>
    <xf numFmtId="164" fontId="1" fillId="0" borderId="4" xfId="0" applyNumberFormat="1" applyFont="1" applyBorder="1"/>
    <xf numFmtId="165" fontId="1" fillId="0" borderId="5" xfId="0" applyNumberFormat="1" applyFont="1" applyBorder="1"/>
    <xf numFmtId="164" fontId="1" fillId="0" borderId="5" xfId="0" applyNumberFormat="1" applyFont="1" applyBorder="1"/>
    <xf numFmtId="4" fontId="1" fillId="0" borderId="5" xfId="0" applyNumberFormat="1" applyFont="1" applyBorder="1"/>
    <xf numFmtId="166" fontId="1" fillId="0" borderId="6" xfId="0" applyNumberFormat="1" applyFont="1" applyBorder="1"/>
    <xf numFmtId="164" fontId="1" fillId="0" borderId="7" xfId="0" applyNumberFormat="1" applyFont="1" applyBorder="1"/>
    <xf numFmtId="4" fontId="1" fillId="0" borderId="0" xfId="0" applyNumberFormat="1" applyFont="1"/>
    <xf numFmtId="0" fontId="5" fillId="20" borderId="0" xfId="0" applyFont="1" applyFill="1"/>
    <xf numFmtId="0" fontId="1" fillId="0" borderId="6" xfId="0" applyFont="1" applyBorder="1"/>
    <xf numFmtId="164" fontId="1" fillId="0" borderId="8" xfId="0" applyNumberFormat="1" applyFont="1" applyBorder="1"/>
    <xf numFmtId="165" fontId="1" fillId="0" borderId="9" xfId="0" applyNumberFormat="1" applyFont="1" applyBorder="1"/>
    <xf numFmtId="164" fontId="1" fillId="0" borderId="9" xfId="0" applyNumberFormat="1" applyFont="1" applyBorder="1"/>
    <xf numFmtId="4" fontId="1" fillId="0" borderId="9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5"/>
  <sheetViews>
    <sheetView tabSelected="1" workbookViewId="0">
      <selection activeCell="D13" sqref="D13"/>
    </sheetView>
  </sheetViews>
  <sheetFormatPr baseColWidth="10" defaultColWidth="12.59765625" defaultRowHeight="15.75" customHeight="1"/>
  <cols>
    <col min="1" max="1" width="12.3984375" customWidth="1"/>
    <col min="2" max="2" width="20.86328125" customWidth="1"/>
    <col min="3" max="3" width="20.1328125" customWidth="1"/>
    <col min="4" max="4" width="19.86328125" customWidth="1"/>
    <col min="5" max="5" width="47.53125" bestFit="1" customWidth="1"/>
    <col min="6" max="6" width="14.46484375" customWidth="1"/>
    <col min="7" max="7" width="18.73046875" customWidth="1"/>
    <col min="8" max="8" width="20" customWidth="1"/>
    <col min="9" max="9" width="11.86328125" customWidth="1"/>
  </cols>
  <sheetData>
    <row r="1" spans="1:9">
      <c r="B1" s="41" t="s">
        <v>0</v>
      </c>
      <c r="C1" s="40"/>
      <c r="D1" s="40"/>
      <c r="E1" s="40"/>
      <c r="F1" s="40"/>
      <c r="G1" s="40"/>
      <c r="H1" s="40"/>
      <c r="I1" s="40"/>
    </row>
    <row r="2" spans="1:9">
      <c r="B2" s="4" t="s">
        <v>1</v>
      </c>
      <c r="C2" s="5" t="s">
        <v>3</v>
      </c>
      <c r="D2" s="6" t="s">
        <v>6</v>
      </c>
      <c r="E2" s="7" t="s">
        <v>8</v>
      </c>
      <c r="F2" s="8" t="s">
        <v>10</v>
      </c>
      <c r="G2" s="9" t="s">
        <v>11</v>
      </c>
      <c r="H2" s="10" t="s">
        <v>13</v>
      </c>
      <c r="I2" s="11" t="s">
        <v>14</v>
      </c>
    </row>
    <row r="3" spans="1:9">
      <c r="B3" s="12">
        <v>1000000</v>
      </c>
      <c r="C3" s="13" t="s">
        <v>4</v>
      </c>
      <c r="D3" s="14">
        <v>0.18</v>
      </c>
      <c r="E3" s="15">
        <v>800</v>
      </c>
      <c r="F3" s="16">
        <v>1500</v>
      </c>
      <c r="G3" s="17">
        <v>550</v>
      </c>
      <c r="H3" s="18">
        <v>450000</v>
      </c>
      <c r="I3" s="19">
        <v>100000</v>
      </c>
    </row>
    <row r="4" spans="1:9">
      <c r="B4" s="1"/>
      <c r="E4" s="15">
        <v>900</v>
      </c>
      <c r="F4" s="20"/>
    </row>
    <row r="5" spans="1:9">
      <c r="B5" s="1"/>
      <c r="E5" s="15">
        <v>1000</v>
      </c>
    </row>
    <row r="6" spans="1:9">
      <c r="B6" s="1"/>
      <c r="E6" s="15">
        <v>1050</v>
      </c>
    </row>
    <row r="10" spans="1:9">
      <c r="E10" s="21">
        <v>-1000000</v>
      </c>
    </row>
    <row r="11" spans="1:9" ht="15.75" customHeight="1">
      <c r="B11" s="22" t="s">
        <v>2</v>
      </c>
      <c r="C11" s="22" t="s">
        <v>5</v>
      </c>
      <c r="D11" s="23" t="s">
        <v>7</v>
      </c>
      <c r="E11" s="23" t="s">
        <v>9</v>
      </c>
      <c r="F11" s="22" t="s">
        <v>15</v>
      </c>
      <c r="G11" s="22" t="s">
        <v>12</v>
      </c>
    </row>
    <row r="12" spans="1:9">
      <c r="A12" s="24" t="s">
        <v>16</v>
      </c>
      <c r="B12" s="25">
        <f t="shared" ref="B12:B15" si="0">$F$3*E3</f>
        <v>1200000</v>
      </c>
      <c r="C12" s="26">
        <f t="shared" ref="C12:C15" si="1">E3*$G$3</f>
        <v>440000</v>
      </c>
      <c r="D12" s="27">
        <f t="shared" ref="D12:D15" si="2">B12-C12</f>
        <v>760000</v>
      </c>
      <c r="E12" s="28">
        <f t="shared" ref="E12:E14" si="3">D12-$H$3</f>
        <v>310000</v>
      </c>
      <c r="F12" s="3">
        <f t="array" ref="F12">NPV(D3, E12:E15) - B3</f>
        <v>191865.29146073968</v>
      </c>
      <c r="G12" s="29">
        <f>IRR(E10:E15)</f>
        <v>0.26399518020141843</v>
      </c>
      <c r="H12" s="21"/>
    </row>
    <row r="13" spans="1:9">
      <c r="A13" s="24" t="s">
        <v>17</v>
      </c>
      <c r="B13" s="30">
        <f t="shared" si="0"/>
        <v>1350000</v>
      </c>
      <c r="C13" s="3">
        <f t="shared" si="1"/>
        <v>495000</v>
      </c>
      <c r="D13" s="2">
        <f t="shared" si="2"/>
        <v>855000</v>
      </c>
      <c r="E13" s="31">
        <f t="shared" si="3"/>
        <v>405000</v>
      </c>
      <c r="F13" s="32"/>
      <c r="G13" s="33"/>
    </row>
    <row r="14" spans="1:9">
      <c r="A14" s="24" t="s">
        <v>18</v>
      </c>
      <c r="B14" s="30">
        <f t="shared" si="0"/>
        <v>1500000</v>
      </c>
      <c r="C14" s="3">
        <f t="shared" si="1"/>
        <v>550000</v>
      </c>
      <c r="D14" s="2">
        <f t="shared" si="2"/>
        <v>950000</v>
      </c>
      <c r="E14" s="31">
        <f t="shared" si="3"/>
        <v>500000</v>
      </c>
      <c r="G14" s="33"/>
    </row>
    <row r="15" spans="1:9">
      <c r="A15" s="24" t="s">
        <v>19</v>
      </c>
      <c r="B15" s="34">
        <f t="shared" si="0"/>
        <v>1575000</v>
      </c>
      <c r="C15" s="35">
        <f t="shared" si="1"/>
        <v>577500</v>
      </c>
      <c r="D15" s="36">
        <f t="shared" si="2"/>
        <v>997500</v>
      </c>
      <c r="E15" s="37">
        <f>D15-$H$3+I3</f>
        <v>647500</v>
      </c>
      <c r="F15" s="38"/>
      <c r="G15" s="39"/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JOSE GEYER GARRO</cp:lastModifiedBy>
  <dcterms:modified xsi:type="dcterms:W3CDTF">2026-04-09T23:40:24Z</dcterms:modified>
</cp:coreProperties>
</file>