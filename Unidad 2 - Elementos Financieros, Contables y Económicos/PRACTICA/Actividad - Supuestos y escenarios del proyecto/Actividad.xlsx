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rsrutneduar-my.sharepoint.com/personal/44404575_alumnos_frsr_utn_edu_ar/Documents/UTN/5 AÑO/SISTEMAS DE GESTION/Unidad 2 - Elementos Financieros, Contables y Económicos/PRACTICA/Actividad - Supuestos y escenarios del proyecto/"/>
    </mc:Choice>
  </mc:AlternateContent>
  <xr:revisionPtr revIDLastSave="150" documentId="11_AD4D2F04E46CFB4ACB3E201D0511E858693EDF1B" xr6:coauthVersionLast="47" xr6:coauthVersionMax="47" xr10:uidLastSave="{EE63E932-9200-4299-AA35-D6B3D4F052CF}"/>
  <bookViews>
    <workbookView xWindow="-98" yWindow="-98" windowWidth="21795" windowHeight="1369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C15" i="1"/>
  <c r="D14" i="1"/>
  <c r="E14" i="1"/>
  <c r="C14" i="1"/>
  <c r="C12" i="1"/>
  <c r="D13" i="1"/>
  <c r="E13" i="1"/>
  <c r="C13" i="1"/>
  <c r="E12" i="1"/>
  <c r="D12" i="1"/>
</calcChain>
</file>

<file path=xl/sharedStrings.xml><?xml version="1.0" encoding="utf-8"?>
<sst xmlns="http://schemas.openxmlformats.org/spreadsheetml/2006/main" count="28" uniqueCount="23">
  <si>
    <t>Variable</t>
  </si>
  <si>
    <t>Unidad</t>
  </si>
  <si>
    <t>Base</t>
  </si>
  <si>
    <t>Optimista</t>
  </si>
  <si>
    <t>Pesimista</t>
  </si>
  <si>
    <t>Justificación breve</t>
  </si>
  <si>
    <t>Ventas mensuales</t>
  </si>
  <si>
    <t>Precio unitario</t>
  </si>
  <si>
    <t>Costo variable unitario</t>
  </si>
  <si>
    <t>Costos fijos mensuales</t>
  </si>
  <si>
    <t>Clientes</t>
  </si>
  <si>
    <t>$ pesos</t>
  </si>
  <si>
    <t>Proyección inicial ; los escenarios varían según la velocidad de captación comercial</t>
  </si>
  <si>
    <t>Se mantienen fijos el abono ($160.000) y el cargo de implementación ($80.000)</t>
  </si>
  <si>
    <t>Suma de infraestructura ($18.000),
mensajería ($7.000) y parametrización
($25.000) por cada cliente nuevo</t>
  </si>
  <si>
    <t>Suma total de los tres sueldos del personal de soporte, administración y ventas</t>
  </si>
  <si>
    <t>DATOS</t>
  </si>
  <si>
    <t>Concepto</t>
  </si>
  <si>
    <t>Ingresos mensuales estimados</t>
  </si>
  <si>
    <t>Costos variables estimados</t>
  </si>
  <si>
    <t>Costos fijos estimados</t>
  </si>
  <si>
    <t>Resultado mensual aproximado</t>
  </si>
  <si>
    <t>Resultado mensual estimado (Mes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</si>
</sst>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_-[$$-2C0A]\ * #,##0_-;\-[$$-2C0A]\ * #,##0_-;_-[$$-2C0A]\ * &quot;-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172" fontId="2" fillId="0" borderId="1" xfId="0" applyNumberFormat="1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5"/>
  <sheetViews>
    <sheetView showGridLines="0" tabSelected="1" topLeftCell="A6" zoomScale="160" zoomScaleNormal="160" workbookViewId="0">
      <selection activeCell="F14" sqref="F14"/>
    </sheetView>
  </sheetViews>
  <sheetFormatPr baseColWidth="10" defaultColWidth="9.06640625" defaultRowHeight="14.25" x14ac:dyDescent="0.45"/>
  <cols>
    <col min="2" max="2" width="30.53125" bestFit="1" customWidth="1"/>
    <col min="3" max="3" width="18.33203125" bestFit="1" customWidth="1"/>
    <col min="4" max="4" width="14.53125" bestFit="1" customWidth="1"/>
    <col min="5" max="5" width="13.59765625" bestFit="1" customWidth="1"/>
    <col min="6" max="6" width="12.46484375" bestFit="1" customWidth="1"/>
    <col min="7" max="7" width="39.06640625" bestFit="1" customWidth="1"/>
  </cols>
  <sheetData>
    <row r="1" spans="2:7" ht="14.65" thickBot="1" x14ac:dyDescent="0.5"/>
    <row r="2" spans="2:7" ht="14.65" thickBot="1" x14ac:dyDescent="0.5">
      <c r="B2" s="8" t="s">
        <v>16</v>
      </c>
      <c r="C2" s="9"/>
      <c r="D2" s="9"/>
      <c r="E2" s="9"/>
      <c r="F2" s="9"/>
      <c r="G2" s="10"/>
    </row>
    <row r="3" spans="2:7" ht="14.65" thickBot="1" x14ac:dyDescent="0.5">
      <c r="B3" s="11" t="s">
        <v>0</v>
      </c>
      <c r="C3" s="12" t="s">
        <v>1</v>
      </c>
      <c r="D3" s="12" t="s">
        <v>2</v>
      </c>
      <c r="E3" s="12" t="s">
        <v>3</v>
      </c>
      <c r="F3" s="12" t="s">
        <v>4</v>
      </c>
      <c r="G3" s="13" t="s">
        <v>5</v>
      </c>
    </row>
    <row r="4" spans="2:7" ht="27" x14ac:dyDescent="0.45">
      <c r="B4" s="14" t="s">
        <v>6</v>
      </c>
      <c r="C4" s="5" t="s">
        <v>10</v>
      </c>
      <c r="D4" s="5">
        <v>10</v>
      </c>
      <c r="E4" s="5">
        <v>15</v>
      </c>
      <c r="F4" s="5">
        <v>5</v>
      </c>
      <c r="G4" s="6" t="s">
        <v>12</v>
      </c>
    </row>
    <row r="5" spans="2:7" ht="27" x14ac:dyDescent="0.45">
      <c r="B5" s="15" t="s">
        <v>7</v>
      </c>
      <c r="C5" s="1" t="s">
        <v>11</v>
      </c>
      <c r="D5" s="7">
        <v>240000</v>
      </c>
      <c r="E5" s="7">
        <v>240000</v>
      </c>
      <c r="F5" s="7">
        <v>240000</v>
      </c>
      <c r="G5" s="2" t="s">
        <v>13</v>
      </c>
    </row>
    <row r="6" spans="2:7" ht="40.5" x14ac:dyDescent="0.45">
      <c r="B6" s="15" t="s">
        <v>8</v>
      </c>
      <c r="C6" s="1" t="s">
        <v>11</v>
      </c>
      <c r="D6" s="7">
        <v>50000</v>
      </c>
      <c r="E6" s="7">
        <v>50000</v>
      </c>
      <c r="F6" s="7">
        <v>50000</v>
      </c>
      <c r="G6" s="2" t="s">
        <v>14</v>
      </c>
    </row>
    <row r="7" spans="2:7" ht="27.4" thickBot="1" x14ac:dyDescent="0.5">
      <c r="B7" s="16" t="s">
        <v>9</v>
      </c>
      <c r="C7" s="3" t="s">
        <v>11</v>
      </c>
      <c r="D7" s="7">
        <v>2450000</v>
      </c>
      <c r="E7" s="7">
        <v>2450000</v>
      </c>
      <c r="F7" s="7">
        <v>2450000</v>
      </c>
      <c r="G7" s="4" t="s">
        <v>15</v>
      </c>
    </row>
    <row r="9" spans="2:7" ht="14.65" thickBot="1" x14ac:dyDescent="0.5"/>
    <row r="10" spans="2:7" ht="19.149999999999999" customHeight="1" thickBot="1" x14ac:dyDescent="0.5">
      <c r="B10" s="17" t="s">
        <v>22</v>
      </c>
      <c r="C10" s="18"/>
      <c r="D10" s="18"/>
      <c r="E10" s="19"/>
    </row>
    <row r="11" spans="2:7" ht="19.5" customHeight="1" thickBot="1" x14ac:dyDescent="0.5">
      <c r="B11" s="11" t="s">
        <v>17</v>
      </c>
      <c r="C11" s="12" t="s">
        <v>2</v>
      </c>
      <c r="D11" s="12" t="s">
        <v>3</v>
      </c>
      <c r="E11" s="13" t="s">
        <v>4</v>
      </c>
    </row>
    <row r="12" spans="2:7" ht="19.5" customHeight="1" x14ac:dyDescent="0.45">
      <c r="B12" s="14" t="s">
        <v>18</v>
      </c>
      <c r="C12" s="7">
        <f>D4*D5</f>
        <v>2400000</v>
      </c>
      <c r="D12" s="7">
        <f>E4*E5</f>
        <v>3600000</v>
      </c>
      <c r="E12" s="7">
        <f>F4*F5</f>
        <v>1200000</v>
      </c>
    </row>
    <row r="13" spans="2:7" ht="19.5" customHeight="1" x14ac:dyDescent="0.45">
      <c r="B13" s="15" t="s">
        <v>19</v>
      </c>
      <c r="C13" s="7">
        <f>D4*D6</f>
        <v>500000</v>
      </c>
      <c r="D13" s="7">
        <f>E4*E6</f>
        <v>750000</v>
      </c>
      <c r="E13" s="7">
        <f t="shared" ref="D13:E13" si="0">F4*F6</f>
        <v>250000</v>
      </c>
    </row>
    <row r="14" spans="2:7" ht="19.5" customHeight="1" x14ac:dyDescent="0.45">
      <c r="B14" s="15" t="s">
        <v>20</v>
      </c>
      <c r="C14" s="7">
        <f>D7</f>
        <v>2450000</v>
      </c>
      <c r="D14" s="7">
        <f t="shared" ref="D14:E14" si="1">E7</f>
        <v>2450000</v>
      </c>
      <c r="E14" s="7">
        <f t="shared" si="1"/>
        <v>2450000</v>
      </c>
    </row>
    <row r="15" spans="2:7" ht="19.5" customHeight="1" thickBot="1" x14ac:dyDescent="0.5">
      <c r="B15" s="20" t="s">
        <v>21</v>
      </c>
      <c r="C15" s="7">
        <f>C12-C14-C13</f>
        <v>-550000</v>
      </c>
      <c r="D15" s="7">
        <f>D12-D14-D13</f>
        <v>400000</v>
      </c>
      <c r="E15" s="7">
        <f t="shared" ref="D15:E15" si="2">E12-E14-E13</f>
        <v>-1500000</v>
      </c>
    </row>
  </sheetData>
  <mergeCells count="2">
    <mergeCell ref="B2:G2"/>
    <mergeCell ref="B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G425 Juanjo Geyer</dc:creator>
  <cp:lastModifiedBy>JUAN JOSE GEYER GARRO</cp:lastModifiedBy>
  <dcterms:created xsi:type="dcterms:W3CDTF">2015-06-05T18:19:34Z</dcterms:created>
  <dcterms:modified xsi:type="dcterms:W3CDTF">2026-04-07T22:09:41Z</dcterms:modified>
</cp:coreProperties>
</file>