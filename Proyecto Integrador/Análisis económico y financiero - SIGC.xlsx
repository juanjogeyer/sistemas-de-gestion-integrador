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Inversion" sheetId="2" state="visible" r:id="rId2"/>
    <sheet name="Costos" sheetId="3" state="visible" r:id="rId3"/>
    <sheet name="Beneficios" sheetId="4" state="visible" r:id="rId4"/>
    <sheet name="Flujo de fondos" sheetId="5" state="visible" r:id="rId5"/>
    <sheet name="Sensibil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i val="1"/>
      <color rgb="00808080"/>
      <sz val="9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4" customHeight="1">
      <c r="A1" s="1" t="inlineStr">
        <is>
          <t>Supuestos del proyecto - SIGC</t>
        </is>
      </c>
    </row>
    <row r="3">
      <c r="A3" s="2" t="inlineStr">
        <is>
          <t>Tasa de descuento anual</t>
        </is>
      </c>
      <c r="B3" s="3" t="n">
        <v>0.25</v>
      </c>
    </row>
    <row r="4">
      <c r="A4" s="2" t="inlineStr">
        <is>
          <t>Horizonte de evaluacion (anios)</t>
        </is>
      </c>
      <c r="B4" s="4" t="n">
        <v>5</v>
      </c>
    </row>
    <row r="5">
      <c r="A5" s="2" t="inlineStr">
        <is>
          <t>Crecimiento anual de beneficios</t>
        </is>
      </c>
      <c r="B5" s="3" t="n">
        <v>0.08</v>
      </c>
    </row>
    <row r="6">
      <c r="A6" s="2" t="inlineStr">
        <is>
          <t>Inversion inicial total</t>
        </is>
      </c>
      <c r="B6" s="5">
        <f>Inversion!B11</f>
        <v/>
      </c>
    </row>
    <row r="7">
      <c r="A7" s="2" t="inlineStr">
        <is>
          <t>Costos operativos anuales</t>
        </is>
      </c>
      <c r="B7" s="5">
        <f>Costos!B8</f>
        <v/>
      </c>
    </row>
    <row r="8">
      <c r="A8" s="2" t="inlineStr">
        <is>
          <t>Beneficios del anio 1</t>
        </is>
      </c>
      <c r="B8" s="5">
        <f>Beneficios!B8</f>
        <v/>
      </c>
    </row>
    <row r="11">
      <c r="A11" s="6" t="inlineStr">
        <is>
          <t>Nota: caso sin inflacion; valores en pesos corrientes constantes.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4" customHeight="1">
      <c r="A1" s="1" t="inlineStr">
        <is>
          <t>Inversion inicial (Anio 0)</t>
        </is>
      </c>
    </row>
    <row r="2">
      <c r="A2" s="7" t="inlineStr">
        <is>
          <t>Concepto</t>
        </is>
      </c>
      <c r="B2" s="7" t="inlineStr">
        <is>
          <t>Monto</t>
        </is>
      </c>
    </row>
    <row r="3">
      <c r="A3" s="8" t="inlineStr">
        <is>
          <t>Implementacion del sistema</t>
        </is>
      </c>
      <c r="B3" s="5" t="n">
        <v>4200000</v>
      </c>
    </row>
    <row r="4">
      <c r="A4" s="8" t="inlineStr">
        <is>
          <t>Configuracion e integraciones</t>
        </is>
      </c>
      <c r="B4" s="5" t="n">
        <v>2600000</v>
      </c>
    </row>
    <row r="5">
      <c r="A5" s="8" t="inlineStr">
        <is>
          <t>Equipamiento y lectores de codigo de barras</t>
        </is>
      </c>
      <c r="B5" s="5" t="n">
        <v>2200000</v>
      </c>
    </row>
    <row r="6">
      <c r="A6" s="8" t="inlineStr">
        <is>
          <t>Migracion de datos</t>
        </is>
      </c>
      <c r="B6" s="5" t="n">
        <v>1000000</v>
      </c>
    </row>
    <row r="7">
      <c r="A7" s="8" t="inlineStr">
        <is>
          <t>Capacitacion inicial</t>
        </is>
      </c>
      <c r="B7" s="5" t="n">
        <v>800000</v>
      </c>
    </row>
    <row r="8">
      <c r="A8" s="8" t="inlineStr">
        <is>
          <t>Contingencia</t>
        </is>
      </c>
      <c r="B8" s="5" t="n">
        <v>1200000</v>
      </c>
    </row>
    <row r="9">
      <c r="A9" s="9" t="inlineStr">
        <is>
          <t>Total inversion inicial</t>
        </is>
      </c>
      <c r="B9" s="10">
        <f>SUM(B3:B8)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4" customHeight="1">
      <c r="A1" s="1" t="inlineStr">
        <is>
          <t>Costos operativos anuales</t>
        </is>
      </c>
    </row>
    <row r="2">
      <c r="A2" s="7" t="inlineStr">
        <is>
          <t>Concepto</t>
        </is>
      </c>
      <c r="B2" s="7" t="inlineStr">
        <is>
          <t>Monto anual</t>
        </is>
      </c>
    </row>
    <row r="3">
      <c r="A3" s="8" t="inlineStr">
        <is>
          <t>Licencias y soporte</t>
        </is>
      </c>
      <c r="B3" s="5" t="n">
        <v>3600000</v>
      </c>
    </row>
    <row r="4">
      <c r="A4" s="8" t="inlineStr">
        <is>
          <t>Hosting / infraestructura</t>
        </is>
      </c>
      <c r="B4" s="5" t="n">
        <v>700000</v>
      </c>
    </row>
    <row r="5">
      <c r="A5" s="8" t="inlineStr">
        <is>
          <t>Mantenimiento y ajustes</t>
        </is>
      </c>
      <c r="B5" s="5" t="n">
        <v>500000</v>
      </c>
    </row>
    <row r="6">
      <c r="A6" s="8" t="inlineStr">
        <is>
          <t>Capacitacion continua</t>
        </is>
      </c>
      <c r="B6" s="5" t="n">
        <v>300000</v>
      </c>
    </row>
    <row r="7">
      <c r="A7" s="9" t="inlineStr">
        <is>
          <t>Total costos operativos anuales</t>
        </is>
      </c>
      <c r="B7" s="10">
        <f>SUM(B3:B6)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Beneficios proyectados</t>
        </is>
      </c>
    </row>
    <row r="2">
      <c r="A2" s="7" t="inlineStr">
        <is>
          <t>Concepto (beneficio anio 1)</t>
        </is>
      </c>
      <c r="B2" s="7" t="inlineStr">
        <is>
          <t>Monto</t>
        </is>
      </c>
    </row>
    <row r="3">
      <c r="A3" s="8" t="inlineStr">
        <is>
          <t>Ahorro de horas administrativas</t>
        </is>
      </c>
      <c r="B3" s="5" t="n">
        <v>4800000</v>
      </c>
    </row>
    <row r="4">
      <c r="A4" s="8" t="inlineStr">
        <is>
          <t>Reduccion de errores y reprocesos</t>
        </is>
      </c>
      <c r="B4" s="5" t="n">
        <v>1500000</v>
      </c>
    </row>
    <row r="5">
      <c r="A5" s="8" t="inlineStr">
        <is>
          <t>Menores perdidas por stock mal gestionado</t>
        </is>
      </c>
      <c r="B5" s="5" t="n">
        <v>2000000</v>
      </c>
    </row>
    <row r="6">
      <c r="A6" s="8" t="inlineStr">
        <is>
          <t>Margen adicional por mejora en ventas</t>
        </is>
      </c>
      <c r="B6" s="5" t="n">
        <v>3000000</v>
      </c>
    </row>
    <row r="7">
      <c r="A7" s="9" t="inlineStr">
        <is>
          <t>Total beneficios anio 1</t>
        </is>
      </c>
      <c r="B7" s="10">
        <f>SUM(B3:B6)</f>
        <v/>
      </c>
    </row>
    <row r="11">
      <c r="A11" s="11" t="inlineStr">
        <is>
          <t>Proyeccion de beneficios (crecimiento 8% anual)</t>
        </is>
      </c>
    </row>
    <row r="12">
      <c r="A12" s="7" t="inlineStr">
        <is>
          <t>Anio</t>
        </is>
      </c>
      <c r="B12" s="7" t="n">
        <v>1</v>
      </c>
      <c r="C12" s="7" t="n">
        <v>2</v>
      </c>
      <c r="D12" s="7" t="n">
        <v>3</v>
      </c>
      <c r="E12" s="7" t="n">
        <v>4</v>
      </c>
      <c r="F12" s="7" t="n">
        <v>5</v>
      </c>
    </row>
    <row r="13">
      <c r="A13" s="2" t="inlineStr">
        <is>
          <t>Beneficios</t>
        </is>
      </c>
      <c r="B13" s="5">
        <f>B8</f>
        <v/>
      </c>
      <c r="C13" s="5">
        <f>B13*(1+Supuestos!$B$5)</f>
        <v/>
      </c>
      <c r="D13" s="5">
        <f>C13*(1+Supuestos!$B$5)</f>
        <v/>
      </c>
      <c r="E13" s="5">
        <f>D13*(1+Supuestos!$B$5)</f>
        <v/>
      </c>
      <c r="F13" s="5">
        <f>E13*(1+Supuestos!$B$5)</f>
        <v/>
      </c>
    </row>
  </sheetData>
  <mergeCells count="2">
    <mergeCell ref="A11:G1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Flujo de fondos del proyecto (5 anios)</t>
        </is>
      </c>
    </row>
    <row r="3">
      <c r="A3" s="7" t="inlineStr">
        <is>
          <t>Concepto</t>
        </is>
      </c>
      <c r="B3" s="7" t="inlineStr">
        <is>
          <t>Anio 0</t>
        </is>
      </c>
      <c r="C3" s="7" t="inlineStr">
        <is>
          <t>Anio 1</t>
        </is>
      </c>
      <c r="D3" s="7" t="inlineStr">
        <is>
          <t>Anio 2</t>
        </is>
      </c>
      <c r="E3" s="7" t="inlineStr">
        <is>
          <t>Anio 3</t>
        </is>
      </c>
      <c r="F3" s="7" t="inlineStr">
        <is>
          <t>Anio 4</t>
        </is>
      </c>
      <c r="G3" s="7" t="inlineStr">
        <is>
          <t>Anio 5</t>
        </is>
      </c>
    </row>
    <row r="4">
      <c r="A4" s="8" t="inlineStr">
        <is>
          <t>Inversion inicial</t>
        </is>
      </c>
      <c r="B4" s="5">
        <f>-Inversion!B11</f>
        <v/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</row>
    <row r="5">
      <c r="A5" s="8" t="inlineStr">
        <is>
          <t>Beneficios</t>
        </is>
      </c>
      <c r="B5" s="5" t="n">
        <v>0</v>
      </c>
      <c r="C5" s="5">
        <f>'Beneficios'!B14</f>
        <v/>
      </c>
      <c r="D5" s="5">
        <f>'Beneficios'!C14</f>
        <v/>
      </c>
      <c r="E5" s="5">
        <f>'Beneficios'!D14</f>
        <v/>
      </c>
      <c r="F5" s="5">
        <f>'Beneficios'!E14</f>
        <v/>
      </c>
      <c r="G5" s="5">
        <f>'Beneficios'!F14</f>
        <v/>
      </c>
    </row>
    <row r="6">
      <c r="A6" s="8" t="inlineStr">
        <is>
          <t>Costos operativos</t>
        </is>
      </c>
      <c r="B6" s="5" t="n">
        <v>0</v>
      </c>
      <c r="C6" s="5">
        <f>-Costos!$B$8</f>
        <v/>
      </c>
      <c r="D6" s="5">
        <f>-Costos!$B$8</f>
        <v/>
      </c>
      <c r="E6" s="5">
        <f>-Costos!$B$8</f>
        <v/>
      </c>
      <c r="F6" s="5">
        <f>-Costos!$B$8</f>
        <v/>
      </c>
      <c r="G6" s="5">
        <f>-Costos!$B$8</f>
        <v/>
      </c>
    </row>
    <row r="7">
      <c r="A7" s="9" t="inlineStr">
        <is>
          <t>Flujo neto</t>
        </is>
      </c>
      <c r="B7" s="10">
        <f>B4+B5+B6</f>
        <v/>
      </c>
      <c r="C7" s="10">
        <f>C4+C5+C6</f>
        <v/>
      </c>
      <c r="D7" s="10">
        <f>D4+D5+D6</f>
        <v/>
      </c>
      <c r="E7" s="10">
        <f>E4+E5+E6</f>
        <v/>
      </c>
      <c r="F7" s="10">
        <f>F4+F5+F6</f>
        <v/>
      </c>
      <c r="G7" s="10">
        <f>G4+G5+G6</f>
        <v/>
      </c>
    </row>
    <row r="8">
      <c r="A8" s="8" t="inlineStr">
        <is>
          <t>Flujo descontado (25%)</t>
        </is>
      </c>
      <c r="B8" s="5">
        <f>B7/(1+Supuestos!$B$3)^0</f>
        <v/>
      </c>
      <c r="C8" s="5">
        <f>C7/(1+Supuestos!$B$3)^1</f>
        <v/>
      </c>
      <c r="D8" s="5">
        <f>D7/(1+Supuestos!$B$3)^2</f>
        <v/>
      </c>
      <c r="E8" s="5">
        <f>E7/(1+Supuestos!$B$3)^3</f>
        <v/>
      </c>
      <c r="F8" s="5">
        <f>F7/(1+Supuestos!$B$3)^4</f>
        <v/>
      </c>
      <c r="G8" s="5">
        <f>G7/(1+Supuestos!$B$3)^5</f>
        <v/>
      </c>
    </row>
    <row r="9">
      <c r="A9" s="8" t="inlineStr">
        <is>
          <t>Flujo acumulado</t>
        </is>
      </c>
      <c r="B9" s="5">
        <f>B7</f>
        <v/>
      </c>
      <c r="C9" s="5">
        <f>B9+C7</f>
        <v/>
      </c>
      <c r="D9" s="5">
        <f>C9+D7</f>
        <v/>
      </c>
      <c r="E9" s="5">
        <f>D9+E7</f>
        <v/>
      </c>
      <c r="F9" s="5">
        <f>E9+F7</f>
        <v/>
      </c>
      <c r="G9" s="5">
        <f>F9+G7</f>
        <v/>
      </c>
    </row>
    <row r="10">
      <c r="A10" s="8" t="inlineStr">
        <is>
          <t>Flujo acumulado descontado</t>
        </is>
      </c>
      <c r="B10" s="5">
        <f>B8</f>
        <v/>
      </c>
      <c r="C10" s="5">
        <f>B10+C8</f>
        <v/>
      </c>
      <c r="D10" s="5">
        <f>C10+D8</f>
        <v/>
      </c>
      <c r="E10" s="5">
        <f>D10+E8</f>
        <v/>
      </c>
      <c r="F10" s="5">
        <f>E10+F8</f>
        <v/>
      </c>
      <c r="G10" s="5">
        <f>F10+G8</f>
        <v/>
      </c>
    </row>
    <row r="13">
      <c r="A13" s="12" t="inlineStr">
        <is>
          <t>Indicadores de evaluacion</t>
        </is>
      </c>
    </row>
    <row r="14">
      <c r="A14" s="13" t="inlineStr">
        <is>
          <t>VAN (Valor Actual Neto, 25%)</t>
        </is>
      </c>
      <c r="B14" s="14">
        <f>B7+NPV(Supuestos!$B$3,C7:G7)</f>
        <v/>
      </c>
    </row>
    <row r="15">
      <c r="A15" s="13" t="inlineStr">
        <is>
          <t>TIR (Tasa Interna de Retorno)</t>
        </is>
      </c>
      <c r="B15" s="15">
        <f>IRR(B7:G7)</f>
        <v/>
      </c>
    </row>
    <row r="16">
      <c r="A16" s="13" t="inlineStr">
        <is>
          <t>Payback simple (anios)</t>
        </is>
      </c>
      <c r="B16" s="16" t="n">
        <v>1.82</v>
      </c>
    </row>
    <row r="17">
      <c r="A17" s="13" t="inlineStr">
        <is>
          <t>Payback descontado (anios)</t>
        </is>
      </c>
      <c r="B17" s="16" t="n">
        <v>2.6</v>
      </c>
    </row>
    <row r="18">
      <c r="A18" s="6" t="inlineStr">
        <is>
          <t>Payback calculado a partir de las filas de flujo acumulado.</t>
        </is>
      </c>
    </row>
  </sheetData>
  <mergeCells count="3">
    <mergeCell ref="A13:B13"/>
    <mergeCell ref="A1:G1"/>
    <mergeCell ref="A18:G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Analisis de sensibilidad (VAN)</t>
        </is>
      </c>
    </row>
    <row r="3">
      <c r="A3" s="17" t="inlineStr">
        <is>
          <t>VAN segun tasa de descuento</t>
        </is>
      </c>
      <c r="D3" s="17" t="inlineStr">
        <is>
          <t>VAN segun nivel de beneficios (tasa 25%)</t>
        </is>
      </c>
    </row>
    <row r="4">
      <c r="A4" s="7" t="inlineStr">
        <is>
          <t>Tasa</t>
        </is>
      </c>
      <c r="B4" s="7" t="inlineStr">
        <is>
          <t>VAN</t>
        </is>
      </c>
      <c r="D4" s="7" t="inlineStr">
        <is>
          <t>Escenario</t>
        </is>
      </c>
      <c r="E4" s="7" t="inlineStr">
        <is>
          <t>VAN</t>
        </is>
      </c>
    </row>
    <row r="5">
      <c r="A5" s="3" t="n">
        <v>0.15</v>
      </c>
      <c r="B5" s="5">
        <f>'Flujo de fondos'!B7+NPV(0.15,'Flujo de fondos'!C7:G7)</f>
        <v/>
      </c>
      <c r="D5" s="8" t="inlineStr">
        <is>
          <t>Beneficios -20%</t>
        </is>
      </c>
      <c r="E5" s="5">
        <f>-Inversion!B11+SUMPRODUCT((Beneficios!B14:F14*0.8-Costos!B8),1/(1+0.25)^{1,2,3,4,5})</f>
        <v/>
      </c>
    </row>
    <row r="6">
      <c r="A6" s="3" t="n">
        <v>0.2</v>
      </c>
      <c r="B6" s="5">
        <f>'Flujo de fondos'!B7+NPV(0.2,'Flujo de fondos'!C7:G7)</f>
        <v/>
      </c>
      <c r="D6" s="8" t="inlineStr">
        <is>
          <t>Beneficios -10%</t>
        </is>
      </c>
      <c r="E6" s="5">
        <f>-Inversion!B11+SUMPRODUCT((Beneficios!B14:F14*0.9-Costos!B8),1/(1+0.25)^{1,2,3,4,5})</f>
        <v/>
      </c>
    </row>
    <row r="7">
      <c r="A7" s="15" t="n">
        <v>0.25</v>
      </c>
      <c r="B7" s="14">
        <f>'Flujo de fondos'!B7+NPV(0.25,'Flujo de fondos'!C7:G7)</f>
        <v/>
      </c>
      <c r="D7" s="13" t="inlineStr">
        <is>
          <t>Base (100%)</t>
        </is>
      </c>
      <c r="E7" s="14">
        <f>-Inversion!B11+SUMPRODUCT((Beneficios!B14:F14*1.0-Costos!B8),1/(1+0.25)^{1,2,3,4,5})</f>
        <v/>
      </c>
    </row>
    <row r="8">
      <c r="A8" s="3" t="n">
        <v>0.3</v>
      </c>
      <c r="B8" s="5">
        <f>'Flujo de fondos'!B7+NPV(0.3,'Flujo de fondos'!C7:G7)</f>
        <v/>
      </c>
      <c r="D8" s="8" t="inlineStr">
        <is>
          <t>Beneficios +10%</t>
        </is>
      </c>
      <c r="E8" s="5">
        <f>-Inversion!B11+SUMPRODUCT((Beneficios!B14:F14*1.1-Costos!B8),1/(1+0.25)^{1,2,3,4,5})</f>
        <v/>
      </c>
    </row>
    <row r="9">
      <c r="A9" s="3" t="n">
        <v>0.35</v>
      </c>
      <c r="B9" s="5">
        <f>'Flujo de fondos'!B7+NPV(0.35,'Flujo de fondos'!C7:G7)</f>
        <v/>
      </c>
      <c r="D9" s="8" t="inlineStr">
        <is>
          <t>Beneficios +20%</t>
        </is>
      </c>
      <c r="E9" s="5">
        <f>-Inversion!B11+SUMPRODUCT((Beneficios!B14:F14*1.2-Costos!B8),1/(1+0.25)^{1,2,3,4,5})</f>
        <v/>
      </c>
    </row>
    <row r="10">
      <c r="A10" s="3" t="n">
        <v>0.4</v>
      </c>
      <c r="B10" s="5">
        <f>'Flujo de fondos'!B7+NPV(0.4,'Flujo de fondos'!C7:G7)</f>
        <v/>
      </c>
    </row>
  </sheetData>
  <mergeCells count="3">
    <mergeCell ref="A1:D1"/>
    <mergeCell ref="D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2026-05-28T22:59:08Z</dcterms:created>
  <dcterms:modified xsi:type="dcterms:W3CDTF">2026-05-28T22:59:08Z</dcterms:modified>
</cp:coreProperties>
</file>