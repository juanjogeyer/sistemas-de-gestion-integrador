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695" tabRatio="600" firstSheet="0" activeTab="5" autoFilterDateGrouping="1"/>
  </bookViews>
  <sheets>
    <sheet name="Supuestos" sheetId="1" state="visible" r:id="rId1"/>
    <sheet name="Inversion" sheetId="2" state="visible" r:id="rId2"/>
    <sheet name="Costos" sheetId="3" state="visible" r:id="rId3"/>
    <sheet name="Beneficios" sheetId="4" state="visible" r:id="rId4"/>
    <sheet name="Flujo de fondos" sheetId="5" state="visible" r:id="rId5"/>
    <sheet name="Sensibilidad" sheetId="6" state="visible" r:id="rId6"/>
    <sheet name="Financiamiento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1"/>
    </font>
    <font>
      <name val="Calibri"/>
      <sz val="11"/>
    </font>
    <font>
      <name val="Calibri"/>
      <i val="1"/>
      <color rgb="FF808080"/>
      <sz val="9"/>
    </font>
    <font>
      <name val="Calibri"/>
      <b val="1"/>
      <color rgb="FFFFFFFF"/>
      <sz val="11"/>
    </font>
    <font>
      <name val="Calibri"/>
      <family val="2"/>
      <b val="1"/>
      <sz val="11"/>
    </font>
    <font>
      <sz val="11"/>
    </font>
    <font>
      <b val="1"/>
      <color rgb="00FFFFFF"/>
      <sz val="14"/>
    </font>
    <font>
      <b val="1"/>
      <sz val="11"/>
    </font>
    <font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2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left" vertical="center"/>
    </xf>
    <xf numFmtId="165" fontId="2" fillId="5" borderId="1" applyAlignment="1" pivotButton="0" quotePrefix="0" xfId="0">
      <alignment horizontal="right" vertical="center"/>
    </xf>
    <xf numFmtId="164" fontId="2" fillId="5" borderId="1" applyAlignment="1" pivotButton="0" quotePrefix="0" xfId="0">
      <alignment horizontal="right" vertical="center"/>
    </xf>
    <xf numFmtId="2" fontId="2" fillId="5" borderId="1" applyAlignment="1" pivotButton="0" quotePrefix="0" xfId="0">
      <alignment horizontal="right" vertical="center"/>
    </xf>
    <xf numFmtId="0" fontId="4" fillId="0" borderId="0" pivotButton="0" quotePrefix="0" xfId="0"/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4" borderId="0" applyAlignment="1" pivotButton="0" quotePrefix="0" xfId="0">
      <alignment horizontal="left" vertical="center"/>
    </xf>
    <xf numFmtId="0" fontId="2" fillId="4" borderId="0" pivotButton="0" quotePrefix="0" xfId="0"/>
    <xf numFmtId="0" fontId="5" fillId="2" borderId="0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/>
    </xf>
    <xf numFmtId="165" fontId="6" fillId="6" borderId="1" applyAlignment="1" pivotButton="0" quotePrefix="0" xfId="0">
      <alignment horizontal="right" vertical="center"/>
    </xf>
    <xf numFmtId="0" fontId="8" fillId="7" borderId="0" applyAlignment="1" pivotButton="0" quotePrefix="0" xfId="0">
      <alignment horizontal="left" vertical="center"/>
    </xf>
    <xf numFmtId="0" fontId="7" fillId="0" borderId="0" pivotButton="0" quotePrefix="0" xfId="0"/>
    <xf numFmtId="0" fontId="9" fillId="8" borderId="0" pivotButton="0" quotePrefix="0" xfId="0"/>
    <xf numFmtId="0" fontId="10" fillId="7" borderId="1" applyAlignment="1" pivotButton="0" quotePrefix="0" xfId="0">
      <alignment horizontal="left" vertical="center" wrapText="1"/>
    </xf>
    <xf numFmtId="0" fontId="10" fillId="7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/>
    </xf>
    <xf numFmtId="165" fontId="7" fillId="0" borderId="0" applyAlignment="1" pivotButton="0" quotePrefix="0" xfId="0">
      <alignment horizontal="right"/>
    </xf>
    <xf numFmtId="0" fontId="9" fillId="9" borderId="1" applyAlignment="1" pivotButton="0" quotePrefix="0" xfId="0">
      <alignment horizontal="left"/>
    </xf>
    <xf numFmtId="165" fontId="9" fillId="9" borderId="0" applyAlignment="1" pivotButton="0" quotePrefix="0" xfId="0">
      <alignment horizontal="right"/>
    </xf>
    <xf numFmtId="0" fontId="10" fillId="7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/>
    </xf>
    <xf numFmtId="164" fontId="7" fillId="0" borderId="0" applyAlignment="1" pivotButton="0" quotePrefix="0" xfId="0">
      <alignment horizontal="right"/>
    </xf>
    <xf numFmtId="0" fontId="9" fillId="9" borderId="0" applyAlignment="1" pivotButton="0" quotePrefix="0" xfId="0">
      <alignment horizontal="left"/>
    </xf>
    <xf numFmtId="164" fontId="9" fillId="9" borderId="0" applyAlignment="1" pivotButton="0" quotePrefix="0" xfId="0">
      <alignment horizontal="right"/>
    </xf>
    <xf numFmtId="1" fontId="7" fillId="0" borderId="0" applyAlignment="1" pivotButton="0" quotePrefix="0" xfId="0">
      <alignment horizontal="right"/>
    </xf>
    <xf numFmtId="0" fontId="9" fillId="10" borderId="0" applyAlignment="1" pivotButton="0" quotePrefix="0" xfId="0">
      <alignment horizontal="left"/>
    </xf>
    <xf numFmtId="165" fontId="9" fillId="10" borderId="0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zoomScale="160" zoomScaleNormal="160" workbookViewId="0">
      <selection activeCell="A17" sqref="A17"/>
    </sheetView>
  </sheetViews>
  <sheetFormatPr baseColWidth="10" defaultColWidth="9.06640625" defaultRowHeight="14.25"/>
  <cols>
    <col width="42" customWidth="1" style="14" min="1" max="1"/>
    <col width="18" customWidth="1" style="14" min="2" max="2"/>
  </cols>
  <sheetData>
    <row r="1" ht="24" customHeight="1" s="14">
      <c r="A1" s="15" t="inlineStr">
        <is>
          <t>Supuestos del proyecto - SIGC</t>
        </is>
      </c>
    </row>
    <row r="3">
      <c r="A3" s="1" t="inlineStr">
        <is>
          <t>Tasa de descuento anual</t>
        </is>
      </c>
      <c r="B3" s="2" t="n">
        <v>0.25</v>
      </c>
    </row>
    <row r="4">
      <c r="A4" s="1" t="inlineStr">
        <is>
          <t>Horizonte de evaluacion (años)</t>
        </is>
      </c>
      <c r="B4" s="3" t="n">
        <v>5</v>
      </c>
    </row>
    <row r="5">
      <c r="A5" s="1" t="inlineStr">
        <is>
          <t>Crecimiento anual de beneficios</t>
        </is>
      </c>
      <c r="B5" s="2" t="n">
        <v>0.08</v>
      </c>
    </row>
    <row r="6">
      <c r="A6" s="1" t="inlineStr">
        <is>
          <t>Inversion inicial total</t>
        </is>
      </c>
      <c r="B6" s="4" t="n">
        <v>12000000</v>
      </c>
    </row>
    <row r="7">
      <c r="A7" s="1" t="inlineStr">
        <is>
          <t>Costos operativos anuales</t>
        </is>
      </c>
      <c r="B7" s="4" t="n">
        <v>5100000</v>
      </c>
    </row>
    <row r="8">
      <c r="A8" s="1" t="inlineStr">
        <is>
          <t>Beneficios del año 1</t>
        </is>
      </c>
      <c r="B8" s="4" t="n">
        <v>11300000</v>
      </c>
    </row>
    <row r="9">
      <c r="A9" s="1" t="inlineStr">
        <is>
          <t>Alicuota impuesto a las ganancias</t>
        </is>
      </c>
      <c r="B9" s="2" t="n">
        <v>0.35</v>
      </c>
    </row>
    <row r="10">
      <c r="A10" s="1" t="inlineStr">
        <is>
          <t>Amortizacion anual (lineal)</t>
        </is>
      </c>
      <c r="B10" s="4">
        <f>B6/B4</f>
        <v/>
      </c>
    </row>
    <row r="11">
      <c r="A11" s="13" t="n"/>
    </row>
  </sheetData>
  <mergeCells count="2">
    <mergeCell ref="A11:B11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zoomScale="160" zoomScaleNormal="160" workbookViewId="0">
      <selection activeCell="A3" sqref="A3:A8"/>
    </sheetView>
  </sheetViews>
  <sheetFormatPr baseColWidth="10" defaultColWidth="9.06640625" defaultRowHeight="14.25"/>
  <cols>
    <col width="42" customWidth="1" style="14" min="1" max="1"/>
    <col width="18" customWidth="1" style="14" min="2" max="2"/>
  </cols>
  <sheetData>
    <row r="1" ht="24" customHeight="1" s="14">
      <c r="A1" s="15" t="inlineStr">
        <is>
          <t>Inversion inicial (Año 0)</t>
        </is>
      </c>
    </row>
    <row r="2">
      <c r="A2" s="5" t="inlineStr">
        <is>
          <t>Concepto</t>
        </is>
      </c>
      <c r="B2" s="5" t="inlineStr">
        <is>
          <t>Monto</t>
        </is>
      </c>
    </row>
    <row r="3">
      <c r="A3" s="6" t="inlineStr">
        <is>
          <t>Implementacion del sistema</t>
        </is>
      </c>
      <c r="B3" s="4" t="n">
        <v>4200000</v>
      </c>
    </row>
    <row r="4">
      <c r="A4" s="6" t="inlineStr">
        <is>
          <t>Configuracion e integraciones</t>
        </is>
      </c>
      <c r="B4" s="4" t="n">
        <v>2600000</v>
      </c>
    </row>
    <row r="5">
      <c r="A5" s="6" t="inlineStr">
        <is>
          <t>Equipamiento y lectores de codigo de barras</t>
        </is>
      </c>
      <c r="B5" s="4" t="n">
        <v>2200000</v>
      </c>
    </row>
    <row r="6">
      <c r="A6" s="6" t="inlineStr">
        <is>
          <t>Migracion de datos</t>
        </is>
      </c>
      <c r="B6" s="4" t="n">
        <v>1000000</v>
      </c>
    </row>
    <row r="7">
      <c r="A7" s="6" t="inlineStr">
        <is>
          <t>Capacitacion inicial</t>
        </is>
      </c>
      <c r="B7" s="4" t="n">
        <v>800000</v>
      </c>
    </row>
    <row r="8">
      <c r="A8" s="6" t="inlineStr">
        <is>
          <t>Contingencia</t>
        </is>
      </c>
      <c r="B8" s="4" t="n">
        <v>1200000</v>
      </c>
    </row>
    <row r="9">
      <c r="A9" s="7" t="inlineStr">
        <is>
          <t>Total inversion inicial</t>
        </is>
      </c>
      <c r="B9" s="8">
        <f>SUM(B3:B8)</f>
        <v/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zoomScale="205" zoomScaleNormal="205" workbookViewId="0">
      <selection activeCell="B10" sqref="B10"/>
    </sheetView>
  </sheetViews>
  <sheetFormatPr baseColWidth="10" defaultColWidth="9.06640625" defaultRowHeight="14.25"/>
  <cols>
    <col width="42" customWidth="1" style="14" min="1" max="1"/>
    <col width="18" customWidth="1" style="14" min="2" max="2"/>
  </cols>
  <sheetData>
    <row r="1" ht="24" customHeight="1" s="14">
      <c r="A1" s="15" t="inlineStr">
        <is>
          <t>Costos operativos anuales</t>
        </is>
      </c>
    </row>
    <row r="2">
      <c r="A2" s="5" t="inlineStr">
        <is>
          <t>Concepto</t>
        </is>
      </c>
      <c r="B2" s="5" t="inlineStr">
        <is>
          <t>Monto anual</t>
        </is>
      </c>
    </row>
    <row r="3">
      <c r="A3" s="6" t="inlineStr">
        <is>
          <t>Licencias y soporte</t>
        </is>
      </c>
      <c r="B3" s="4" t="n">
        <v>3600000</v>
      </c>
    </row>
    <row r="4">
      <c r="A4" s="6" t="inlineStr">
        <is>
          <t>Hosting / infraestructura</t>
        </is>
      </c>
      <c r="B4" s="4" t="n">
        <v>700000</v>
      </c>
    </row>
    <row r="5">
      <c r="A5" s="6" t="inlineStr">
        <is>
          <t>Mantenimiento y ajustes</t>
        </is>
      </c>
      <c r="B5" s="4" t="n">
        <v>500000</v>
      </c>
    </row>
    <row r="6">
      <c r="A6" s="6" t="inlineStr">
        <is>
          <t>Capacitacion continua</t>
        </is>
      </c>
      <c r="B6" s="4" t="n">
        <v>300000</v>
      </c>
    </row>
    <row r="7">
      <c r="A7" s="7" t="inlineStr">
        <is>
          <t>Total costos operativos anuales</t>
        </is>
      </c>
      <c r="B7" s="8">
        <f>SUM(B3:B6)</f>
        <v/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zoomScale="160" zoomScaleNormal="160" workbookViewId="0">
      <selection activeCell="B14" sqref="B14"/>
    </sheetView>
  </sheetViews>
  <sheetFormatPr baseColWidth="10" defaultColWidth="9.06640625" defaultRowHeight="14.25"/>
  <cols>
    <col width="42" customWidth="1" style="14" min="1" max="1"/>
    <col width="16" customWidth="1" style="14" min="2" max="7"/>
  </cols>
  <sheetData>
    <row r="1" ht="24" customHeight="1" s="14">
      <c r="A1" s="15" t="inlineStr">
        <is>
          <t>Beneficios proyectados</t>
        </is>
      </c>
    </row>
    <row r="2">
      <c r="A2" s="5" t="inlineStr">
        <is>
          <t>Concepto (beneficio año 1)</t>
        </is>
      </c>
      <c r="B2" s="5" t="inlineStr">
        <is>
          <t>Monto</t>
        </is>
      </c>
    </row>
    <row r="3">
      <c r="A3" s="6" t="inlineStr">
        <is>
          <t>Ahorro de horas administrativas</t>
        </is>
      </c>
      <c r="B3" s="4" t="n">
        <v>4800000</v>
      </c>
    </row>
    <row r="4">
      <c r="A4" s="6" t="inlineStr">
        <is>
          <t>Reduccion de errores y reprocesos</t>
        </is>
      </c>
      <c r="B4" s="4" t="n">
        <v>1500000</v>
      </c>
    </row>
    <row r="5">
      <c r="A5" s="6" t="inlineStr">
        <is>
          <t>Menores perdidas por stock mal gestionado</t>
        </is>
      </c>
      <c r="B5" s="4" t="n">
        <v>2000000</v>
      </c>
    </row>
    <row r="6">
      <c r="A6" s="6" t="inlineStr">
        <is>
          <t>Margen adicional por mejora en ventas</t>
        </is>
      </c>
      <c r="B6" s="4" t="n">
        <v>3000000</v>
      </c>
    </row>
    <row r="7">
      <c r="A7" s="7" t="inlineStr">
        <is>
          <t>Total beneficios año 1</t>
        </is>
      </c>
      <c r="B7" s="8">
        <f>SUM(B3:B6)</f>
        <v/>
      </c>
    </row>
    <row r="11">
      <c r="A11" s="16" t="inlineStr">
        <is>
          <t>Proyeccion de beneficios (crecimiento 8% anual)</t>
        </is>
      </c>
    </row>
    <row r="12">
      <c r="A12" s="5" t="inlineStr">
        <is>
          <t>Año</t>
        </is>
      </c>
      <c r="B12" s="5" t="n">
        <v>1</v>
      </c>
      <c r="C12" s="5" t="n">
        <v>2</v>
      </c>
      <c r="D12" s="5" t="n">
        <v>3</v>
      </c>
      <c r="E12" s="5" t="n">
        <v>4</v>
      </c>
      <c r="F12" s="5" t="n">
        <v>5</v>
      </c>
    </row>
    <row r="13">
      <c r="A13" s="1" t="inlineStr">
        <is>
          <t>Beneficios</t>
        </is>
      </c>
      <c r="B13" s="4" t="n">
        <v>11300000</v>
      </c>
      <c r="C13" s="4">
        <f>B13*(1+Supuestos!$B$5)</f>
        <v/>
      </c>
      <c r="D13" s="4">
        <f>C13*(1+Supuestos!$B$5)</f>
        <v/>
      </c>
      <c r="E13" s="4">
        <f>D13*(1+Supuestos!$B$5)</f>
        <v/>
      </c>
      <c r="F13" s="4">
        <f>E13*(1+Supuestos!$B$5)</f>
        <v/>
      </c>
    </row>
  </sheetData>
  <mergeCells count="2">
    <mergeCell ref="A11:G11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zoomScale="145" zoomScaleNormal="145" workbookViewId="0">
      <selection activeCell="E19" sqref="E19"/>
    </sheetView>
  </sheetViews>
  <sheetFormatPr baseColWidth="10" defaultColWidth="9.06640625" defaultRowHeight="14.25"/>
  <cols>
    <col width="34" customWidth="1" style="14" min="1" max="1"/>
    <col width="16" customWidth="1" style="14" min="2" max="7"/>
  </cols>
  <sheetData>
    <row r="1" ht="24" customHeight="1" s="14">
      <c r="A1" s="15" t="inlineStr">
        <is>
          <t>Flujo de fondos del proyecto (5 años)</t>
        </is>
      </c>
    </row>
    <row r="3">
      <c r="A3" s="5" t="inlineStr">
        <is>
          <t>Concepto</t>
        </is>
      </c>
      <c r="B3" s="5" t="inlineStr">
        <is>
          <t>Año 0</t>
        </is>
      </c>
      <c r="C3" s="5" t="inlineStr">
        <is>
          <t>Año 1</t>
        </is>
      </c>
      <c r="D3" s="5" t="inlineStr">
        <is>
          <t>Año 2</t>
        </is>
      </c>
      <c r="E3" s="5" t="inlineStr">
        <is>
          <t>Año 3</t>
        </is>
      </c>
      <c r="F3" s="5" t="inlineStr">
        <is>
          <t>Año 4</t>
        </is>
      </c>
      <c r="G3" s="5" t="inlineStr">
        <is>
          <t>Año 5</t>
        </is>
      </c>
    </row>
    <row r="4">
      <c r="A4" s="6" t="inlineStr">
        <is>
          <t>Inversion inicial</t>
        </is>
      </c>
      <c r="B4" s="4" t="n">
        <v>-12000000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</row>
    <row r="5">
      <c r="A5" s="6" t="inlineStr">
        <is>
          <t>Beneficios</t>
        </is>
      </c>
      <c r="B5" s="4" t="n">
        <v>0</v>
      </c>
      <c r="C5" s="4" t="n">
        <v>11300000</v>
      </c>
      <c r="D5" s="4" t="n">
        <v>12204000</v>
      </c>
      <c r="E5" s="4" t="n">
        <v>13180320</v>
      </c>
      <c r="F5" s="4" t="n">
        <v>14234745.6</v>
      </c>
      <c r="G5" s="4" t="n">
        <v>15373525.25</v>
      </c>
    </row>
    <row r="6">
      <c r="A6" s="6" t="inlineStr">
        <is>
          <t>Costos operativos</t>
        </is>
      </c>
      <c r="B6" s="4" t="n">
        <v>0</v>
      </c>
      <c r="C6" s="4" t="n">
        <v>-5100000</v>
      </c>
      <c r="D6" s="4" t="n">
        <v>-5100000</v>
      </c>
      <c r="E6" s="4" t="n">
        <v>-5100000</v>
      </c>
      <c r="F6" s="4" t="n">
        <v>-5100000</v>
      </c>
      <c r="G6" s="4" t="n">
        <v>-5100000</v>
      </c>
    </row>
    <row r="7">
      <c r="A7" s="7" t="inlineStr">
        <is>
          <t>Flujo antes de impuestos</t>
        </is>
      </c>
      <c r="B7" s="8">
        <f>B4+B5+B6</f>
        <v/>
      </c>
      <c r="C7" s="8">
        <f>C4+C5+C6</f>
        <v/>
      </c>
      <c r="D7" s="8">
        <f>D4+D5+D6</f>
        <v/>
      </c>
      <c r="E7" s="8">
        <f>E4+E5+E6</f>
        <v/>
      </c>
      <c r="F7" s="8">
        <f>F4+F5+F6</f>
        <v/>
      </c>
      <c r="G7" s="8">
        <f>G4+G5+G6</f>
        <v/>
      </c>
    </row>
    <row r="8">
      <c r="A8" s="6" t="inlineStr">
        <is>
          <t>Amortizacion (informativa)</t>
        </is>
      </c>
      <c r="B8" s="4" t="n">
        <v>0</v>
      </c>
      <c r="C8" s="4">
        <f>Supuestos!$B$10</f>
        <v/>
      </c>
      <c r="D8" s="4">
        <f>Supuestos!$B$10</f>
        <v/>
      </c>
      <c r="E8" s="4">
        <f>Supuestos!$B$10</f>
        <v/>
      </c>
      <c r="F8" s="4">
        <f>Supuestos!$B$10</f>
        <v/>
      </c>
      <c r="G8" s="4">
        <f>Supuestos!$B$10</f>
        <v/>
      </c>
    </row>
    <row r="9">
      <c r="A9" s="6" t="inlineStr">
        <is>
          <t>Base imponible</t>
        </is>
      </c>
      <c r="B9" s="4" t="n">
        <v>0</v>
      </c>
      <c r="C9" s="4">
        <f>C5+C6-C8</f>
        <v/>
      </c>
      <c r="D9" s="4">
        <f>D5+D6-D8</f>
        <v/>
      </c>
      <c r="E9" s="4">
        <f>E5+E6-E8</f>
        <v/>
      </c>
      <c r="F9" s="4">
        <f>F5+F6-F8</f>
        <v/>
      </c>
      <c r="G9" s="4">
        <f>G5+G6-G8</f>
        <v/>
      </c>
    </row>
    <row r="10">
      <c r="A10" s="6" t="inlineStr">
        <is>
          <t>Impuesto a las ganancias (35%)</t>
        </is>
      </c>
      <c r="B10" s="4" t="n">
        <v>0</v>
      </c>
      <c r="C10" s="4">
        <f>-C9*Supuestos!$B$9</f>
        <v/>
      </c>
      <c r="D10" s="4">
        <f>-D9*Supuestos!$B$9</f>
        <v/>
      </c>
      <c r="E10" s="4">
        <f>-E9*Supuestos!$B$9</f>
        <v/>
      </c>
      <c r="F10" s="4">
        <f>-F9*Supuestos!$B$9</f>
        <v/>
      </c>
      <c r="G10" s="4">
        <f>-G9*Supuestos!$B$9</f>
        <v/>
      </c>
    </row>
    <row r="11">
      <c r="A11" s="19" t="inlineStr">
        <is>
          <t>Flujo neto despues de impuestos</t>
        </is>
      </c>
      <c r="B11" s="20">
        <f>B7</f>
        <v/>
      </c>
      <c r="C11" s="20">
        <f>C7+C10</f>
        <v/>
      </c>
      <c r="D11" s="20">
        <f>D7+D10</f>
        <v/>
      </c>
      <c r="E11" s="20">
        <f>E7+E10</f>
        <v/>
      </c>
      <c r="F11" s="20">
        <f>F7+F10</f>
        <v/>
      </c>
      <c r="G11" s="20">
        <f>G7+G10</f>
        <v/>
      </c>
    </row>
    <row r="12">
      <c r="A12" s="6" t="inlineStr">
        <is>
          <t>Flujo descontado (25%)</t>
        </is>
      </c>
      <c r="B12" s="4">
        <f>B11/(1+Supuestos!$B$3)^0</f>
        <v/>
      </c>
      <c r="C12" s="4">
        <f>C11/(1+Supuestos!$B$3)^1</f>
        <v/>
      </c>
      <c r="D12" s="4">
        <f>D11/(1+Supuestos!$B$3)^2</f>
        <v/>
      </c>
      <c r="E12" s="4">
        <f>E11/(1+Supuestos!$B$3)^3</f>
        <v/>
      </c>
      <c r="F12" s="4">
        <f>F11/(1+Supuestos!$B$3)^4</f>
        <v/>
      </c>
      <c r="G12" s="4">
        <f>G11/(1+Supuestos!$B$3)^5</f>
        <v/>
      </c>
    </row>
    <row r="13">
      <c r="A13" s="6" t="inlineStr">
        <is>
          <t>Flujo acumulado</t>
        </is>
      </c>
      <c r="B13" s="4">
        <f>B11</f>
        <v/>
      </c>
      <c r="C13" s="4">
        <f>B13+C11</f>
        <v/>
      </c>
      <c r="D13" s="4">
        <f>C13+D11</f>
        <v/>
      </c>
      <c r="E13" s="4">
        <f>D13+E11</f>
        <v/>
      </c>
      <c r="F13" s="4">
        <f>E13+F11</f>
        <v/>
      </c>
      <c r="G13" s="4">
        <f>F13+G11</f>
        <v/>
      </c>
    </row>
    <row r="14">
      <c r="A14" s="6" t="inlineStr">
        <is>
          <t>Flujo acumulado descontado</t>
        </is>
      </c>
      <c r="B14" s="4">
        <f>B12</f>
        <v/>
      </c>
      <c r="C14" s="4">
        <f>B14+C12</f>
        <v/>
      </c>
      <c r="D14" s="4">
        <f>C14+D12</f>
        <v/>
      </c>
      <c r="E14" s="4">
        <f>D14+E12</f>
        <v/>
      </c>
      <c r="F14" s="4">
        <f>E14+F12</f>
        <v/>
      </c>
      <c r="G14" s="4">
        <f>F14+G12</f>
        <v/>
      </c>
    </row>
    <row r="16">
      <c r="A16" s="18" t="inlineStr">
        <is>
          <t>Indicadores de evaluacion</t>
        </is>
      </c>
    </row>
    <row r="17">
      <c r="A17" s="9" t="inlineStr">
        <is>
          <t>VAN (Valor Actual Neto, 25%)</t>
        </is>
      </c>
      <c r="B17" s="10">
        <f>B11+NPV(Supuestos!$B$3,C11:G11)</f>
        <v/>
      </c>
    </row>
    <row r="18">
      <c r="A18" s="9" t="inlineStr">
        <is>
          <t>TIR (Tasa Interna de Retorno)</t>
        </is>
      </c>
      <c r="B18" s="11">
        <f>IRR(B11:G11)</f>
        <v/>
      </c>
    </row>
    <row r="19">
      <c r="A19" s="9" t="inlineStr">
        <is>
          <t>Payback simple (años)</t>
        </is>
      </c>
      <c r="B19" s="12" t="n">
        <v>2.27</v>
      </c>
    </row>
    <row r="20">
      <c r="A20" s="9" t="inlineStr">
        <is>
          <t>Payback descontado (años)</t>
        </is>
      </c>
      <c r="B20" s="12" t="n">
        <v>3.54</v>
      </c>
    </row>
  </sheetData>
  <mergeCells count="2">
    <mergeCell ref="A16:B16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tabSelected="1" zoomScale="130" zoomScaleNormal="130" workbookViewId="0">
      <selection activeCell="E14" sqref="E14"/>
    </sheetView>
  </sheetViews>
  <sheetFormatPr baseColWidth="10" defaultColWidth="9.06640625" defaultRowHeight="14.25"/>
  <cols>
    <col width="35" customWidth="1" style="14" min="1" max="1"/>
    <col width="42" customWidth="1" style="14" min="2" max="5"/>
    <col width="18" customWidth="1" style="14" min="3" max="3"/>
  </cols>
  <sheetData>
    <row r="1" ht="24" customHeight="1" s="14">
      <c r="A1" s="21" t="inlineStr">
        <is>
          <t>Analisis de escenarios (VAN, tasa 25%)</t>
        </is>
      </c>
      <c r="D1" s="22" t="n"/>
    </row>
    <row r="2">
      <c r="A2" s="22" t="n"/>
      <c r="B2" s="22" t="n"/>
      <c r="C2" s="22" t="n"/>
      <c r="D2" s="22" t="n"/>
    </row>
    <row r="3">
      <c r="A3" s="23" t="inlineStr">
        <is>
          <t>Escenarios adversos y favorable — impacto sobre el VAN</t>
        </is>
      </c>
      <c r="D3" s="22" t="n"/>
    </row>
    <row r="4">
      <c r="A4" s="24" t="inlineStr">
        <is>
          <t>Escenario</t>
        </is>
      </c>
      <c r="B4" s="24" t="inlineStr">
        <is>
          <t>Variable modificada</t>
        </is>
      </c>
      <c r="C4" s="25" t="inlineStr">
        <is>
          <t>VAN resultante</t>
        </is>
      </c>
      <c r="D4" s="22" t="n"/>
    </row>
    <row r="5">
      <c r="A5" s="26" t="inlineStr">
        <is>
          <t>1. Adopcion lenta</t>
        </is>
      </c>
      <c r="B5" s="26" t="inlineStr">
        <is>
          <t>Benef. año 1 al 50%, año 2 al 70%</t>
        </is>
      </c>
      <c r="C5" s="27" t="n">
        <v>1888060</v>
      </c>
      <c r="D5" s="22" t="n"/>
    </row>
    <row r="6">
      <c r="A6" s="26" t="inlineStr">
        <is>
          <t>2. Sobrecosto de implementacion</t>
        </is>
      </c>
      <c r="B6" s="26" t="inlineStr">
        <is>
          <t>Inversion inicial +25% ($15.000.000)</t>
        </is>
      </c>
      <c r="C6" s="27" t="n">
        <v>5751704</v>
      </c>
      <c r="D6" s="22" t="n"/>
    </row>
    <row r="7">
      <c r="A7" s="26" t="inlineStr">
        <is>
          <t>3. Caida sostenida de beneficios</t>
        </is>
      </c>
      <c r="B7" s="26" t="inlineStr">
        <is>
          <t>Beneficios -25% en todos los años</t>
        </is>
      </c>
      <c r="C7" s="27" t="n">
        <v>134960</v>
      </c>
      <c r="D7" s="22" t="n"/>
    </row>
    <row r="8">
      <c r="A8" s="28" t="inlineStr">
        <is>
          <t>Base (100%)</t>
        </is>
      </c>
      <c r="B8" s="28" t="inlineStr">
        <is>
          <t>—</t>
        </is>
      </c>
      <c r="C8" s="29" t="n">
        <v>8751704</v>
      </c>
      <c r="D8" s="22" t="n"/>
    </row>
    <row r="9">
      <c r="A9" s="26" t="inlineStr">
        <is>
          <t>4. Crecimiento acelerado</t>
        </is>
      </c>
      <c r="B9" s="26" t="inlineStr">
        <is>
          <t>Crecimiento anual 12% desde año 2 (vs. 8%)</t>
        </is>
      </c>
      <c r="C9" s="27" t="n">
        <v>11011129</v>
      </c>
      <c r="D9" s="22" t="n"/>
    </row>
    <row r="10">
      <c r="A10" s="22" t="n"/>
      <c r="B10" s="22" t="n"/>
      <c r="C10" s="22" t="n"/>
      <c r="D10" s="22" t="n"/>
    </row>
    <row r="11">
      <c r="A11" s="22" t="n"/>
      <c r="B11" s="22" t="n"/>
      <c r="C11" s="22" t="n"/>
      <c r="D11" s="22" t="n"/>
    </row>
    <row r="12">
      <c r="A12" s="22" t="n"/>
      <c r="B12" s="22" t="n"/>
      <c r="C12" s="22" t="n"/>
      <c r="D12" s="22" t="n"/>
    </row>
    <row r="13">
      <c r="A13" s="22" t="n"/>
      <c r="B13" s="22" t="n"/>
      <c r="C13" s="22" t="n"/>
      <c r="D13" s="22" t="n"/>
    </row>
    <row r="14">
      <c r="A14" s="22" t="n"/>
      <c r="B14" s="22" t="n"/>
      <c r="C14" s="22" t="n"/>
      <c r="D14" s="22" t="n"/>
    </row>
  </sheetData>
  <mergeCells count="2">
    <mergeCell ref="A1:C1"/>
    <mergeCell ref="A3:C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45" customWidth="1" style="14" min="1" max="1"/>
    <col width="16" customWidth="1" style="14" min="2" max="2"/>
    <col width="16" customWidth="1" style="14" min="3" max="3"/>
    <col width="16" customWidth="1" style="14" min="4" max="4"/>
    <col width="16" customWidth="1" style="14" min="5" max="5"/>
    <col width="16" customWidth="1" style="14" min="6" max="6"/>
    <col width="16" customWidth="1" style="14" min="7" max="7"/>
  </cols>
  <sheetData>
    <row r="1" ht="30" customHeight="1" s="14">
      <c r="A1" s="21" t="inlineStr">
        <is>
          <t>Financiamiento del proyecto — Sistema Frances (70% deuda / 30% capital propio)</t>
        </is>
      </c>
    </row>
    <row r="3">
      <c r="A3" s="23" t="inlineStr">
        <is>
          <t>Estructura de financiamiento</t>
        </is>
      </c>
    </row>
    <row r="4">
      <c r="A4" s="30" t="inlineStr">
        <is>
          <t>Fuente</t>
        </is>
      </c>
      <c r="B4" s="25" t="inlineStr">
        <is>
          <t>Monto</t>
        </is>
      </c>
      <c r="C4" s="25" t="inlineStr">
        <is>
          <t>Participacion</t>
        </is>
      </c>
    </row>
    <row r="5">
      <c r="A5" s="31" t="inlineStr">
        <is>
          <t>Capital propio</t>
        </is>
      </c>
      <c r="B5" s="27" t="n">
        <v>3600000</v>
      </c>
      <c r="C5" s="32" t="n">
        <v>0.3</v>
      </c>
    </row>
    <row r="6">
      <c r="A6" s="31" t="inlineStr">
        <is>
          <t>Prestamo bancario (41% anual, 5 años)</t>
        </is>
      </c>
      <c r="B6" s="27" t="n">
        <v>8400000</v>
      </c>
      <c r="C6" s="32" t="n">
        <v>0.7</v>
      </c>
    </row>
    <row r="7">
      <c r="A7" s="33" t="inlineStr">
        <is>
          <t>Total inversion inicial</t>
        </is>
      </c>
      <c r="B7" s="29" t="n">
        <v>12000000</v>
      </c>
      <c r="C7" s="34" t="n">
        <v>1</v>
      </c>
    </row>
    <row r="9">
      <c r="A9" s="23" t="inlineStr">
        <is>
          <t>Tabla de amortizacion — Prestamo $8.400.000 al 41% anual, cuota fija $4.197.423</t>
        </is>
      </c>
    </row>
    <row r="10">
      <c r="A10" s="25" t="inlineStr">
        <is>
          <t>Año</t>
        </is>
      </c>
      <c r="B10" s="25" t="inlineStr">
        <is>
          <t>Saldo inicial</t>
        </is>
      </c>
      <c r="C10" s="25" t="inlineStr">
        <is>
          <t>Interes</t>
        </is>
      </c>
      <c r="D10" s="25" t="inlineStr">
        <is>
          <t>Amortizacion</t>
        </is>
      </c>
      <c r="E10" s="25" t="inlineStr">
        <is>
          <t>Cuota</t>
        </is>
      </c>
      <c r="F10" s="25" t="inlineStr">
        <is>
          <t>Saldo final</t>
        </is>
      </c>
    </row>
    <row r="11">
      <c r="A11" s="35" t="n">
        <v>1</v>
      </c>
      <c r="B11" s="27" t="n">
        <v>8400000</v>
      </c>
      <c r="C11" s="27" t="n">
        <v>3444000</v>
      </c>
      <c r="D11" s="27" t="n">
        <v>753423</v>
      </c>
      <c r="E11" s="27" t="n">
        <v>4197423</v>
      </c>
      <c r="F11" s="27" t="n">
        <v>7646577</v>
      </c>
    </row>
    <row r="12">
      <c r="A12" s="35" t="n">
        <v>2</v>
      </c>
      <c r="B12" s="27" t="n">
        <v>7646577</v>
      </c>
      <c r="C12" s="27" t="n">
        <v>3135097</v>
      </c>
      <c r="D12" s="27" t="n">
        <v>1062326</v>
      </c>
      <c r="E12" s="27" t="n">
        <v>4197423</v>
      </c>
      <c r="F12" s="27" t="n">
        <v>6584251</v>
      </c>
    </row>
    <row r="13">
      <c r="A13" s="35" t="n">
        <v>3</v>
      </c>
      <c r="B13" s="27" t="n">
        <v>6584251</v>
      </c>
      <c r="C13" s="27" t="n">
        <v>2699543</v>
      </c>
      <c r="D13" s="27" t="n">
        <v>1497880</v>
      </c>
      <c r="E13" s="27" t="n">
        <v>4197423</v>
      </c>
      <c r="F13" s="27" t="n">
        <v>5086371</v>
      </c>
    </row>
    <row r="14">
      <c r="A14" s="35" t="n">
        <v>4</v>
      </c>
      <c r="B14" s="27" t="n">
        <v>5086371</v>
      </c>
      <c r="C14" s="27" t="n">
        <v>2085412</v>
      </c>
      <c r="D14" s="27" t="n">
        <v>2112011</v>
      </c>
      <c r="E14" s="27" t="n">
        <v>4197423</v>
      </c>
      <c r="F14" s="27" t="n">
        <v>2974360</v>
      </c>
    </row>
    <row r="15">
      <c r="A15" s="35" t="n">
        <v>5</v>
      </c>
      <c r="B15" s="27" t="n">
        <v>2974360</v>
      </c>
      <c r="C15" s="27" t="n">
        <v>1219488</v>
      </c>
      <c r="D15" s="27" t="n">
        <v>2977935</v>
      </c>
      <c r="E15" s="27" t="n">
        <v>4197423</v>
      </c>
      <c r="F15" s="27" t="n">
        <v>0</v>
      </c>
    </row>
    <row r="16">
      <c r="A16" s="36" t="inlineStr">
        <is>
          <t>Total intereses pagados</t>
        </is>
      </c>
      <c r="C16" s="37" t="n">
        <v>12583540</v>
      </c>
    </row>
    <row r="18">
      <c r="A18" s="23" t="inlineStr">
        <is>
          <t>Flujo del inversor (sin impuestos) — servicio de deuda en sistema frances</t>
        </is>
      </c>
    </row>
    <row r="19">
      <c r="A19" s="25" t="inlineStr">
        <is>
          <t>Concepto</t>
        </is>
      </c>
      <c r="B19" s="25" t="inlineStr">
        <is>
          <t>Año 0</t>
        </is>
      </c>
      <c r="C19" s="25" t="inlineStr">
        <is>
          <t>Año 1</t>
        </is>
      </c>
      <c r="D19" s="25" t="inlineStr">
        <is>
          <t>Año 2</t>
        </is>
      </c>
      <c r="E19" s="25" t="inlineStr">
        <is>
          <t>Año 3</t>
        </is>
      </c>
      <c r="F19" s="25" t="inlineStr">
        <is>
          <t>Año 4</t>
        </is>
      </c>
      <c r="G19" s="25" t="inlineStr">
        <is>
          <t>Año 5</t>
        </is>
      </c>
    </row>
    <row r="20">
      <c r="A20" s="31" t="inlineStr">
        <is>
          <t>Capital propio aportado</t>
        </is>
      </c>
      <c r="B20" s="27" t="n">
        <v>-3600000</v>
      </c>
      <c r="C20" s="27" t="n">
        <v>0</v>
      </c>
      <c r="D20" s="27" t="n">
        <v>0</v>
      </c>
      <c r="E20" s="27" t="n">
        <v>0</v>
      </c>
      <c r="F20" s="27" t="n">
        <v>0</v>
      </c>
      <c r="G20" s="27" t="n">
        <v>0</v>
      </c>
    </row>
    <row r="21">
      <c r="A21" s="31" t="inlineStr">
        <is>
          <t>Flujo neto del proyecto</t>
        </is>
      </c>
      <c r="B21" s="27" t="n">
        <v>0</v>
      </c>
      <c r="C21" s="27" t="n">
        <v>6200000</v>
      </c>
      <c r="D21" s="27" t="n">
        <v>7104000</v>
      </c>
      <c r="E21" s="27" t="n">
        <v>8080320</v>
      </c>
      <c r="F21" s="27" t="n">
        <v>9134746</v>
      </c>
      <c r="G21" s="27" t="n">
        <v>10273525</v>
      </c>
    </row>
    <row r="22">
      <c r="A22" s="31" t="inlineStr">
        <is>
          <t>Servicio de deuda (cuota francesa)</t>
        </is>
      </c>
      <c r="B22" s="27" t="n">
        <v>0</v>
      </c>
      <c r="C22" s="27" t="n">
        <v>-4197423</v>
      </c>
      <c r="D22" s="27" t="n">
        <v>-4197423</v>
      </c>
      <c r="E22" s="27" t="n">
        <v>-4197423</v>
      </c>
      <c r="F22" s="27" t="n">
        <v>-4197423</v>
      </c>
      <c r="G22" s="27" t="n">
        <v>-4197423</v>
      </c>
    </row>
    <row r="23">
      <c r="A23" s="33" t="inlineStr">
        <is>
          <t>Flujo neto del inversor</t>
        </is>
      </c>
      <c r="B23" s="29" t="n">
        <v>-3600000</v>
      </c>
      <c r="C23" s="29" t="n">
        <v>2002577</v>
      </c>
      <c r="D23" s="29" t="n">
        <v>2906577</v>
      </c>
      <c r="E23" s="29" t="n">
        <v>3882897</v>
      </c>
      <c r="F23" s="29" t="n">
        <v>4937323</v>
      </c>
      <c r="G23" s="29" t="n">
        <v>6076102</v>
      </c>
    </row>
    <row r="25">
      <c r="A25" s="23" t="inlineStr">
        <is>
          <t>Indicadores del inversor</t>
        </is>
      </c>
    </row>
    <row r="26">
      <c r="A26" s="30" t="inlineStr">
        <is>
          <t>Indicador</t>
        </is>
      </c>
      <c r="B26" s="25" t="inlineStr">
        <is>
          <t>Proyecto puro</t>
        </is>
      </c>
      <c r="C26" s="25" t="inlineStr">
        <is>
          <t>Proyecto financiado (70% deuda)</t>
        </is>
      </c>
    </row>
    <row r="27">
      <c r="A27" s="33" t="inlineStr">
        <is>
          <t>Capital aportado</t>
        </is>
      </c>
      <c r="B27" s="29" t="n">
        <v>12000000</v>
      </c>
      <c r="C27" s="29" t="n">
        <v>3600000</v>
      </c>
    </row>
    <row r="28">
      <c r="A28" s="33" t="inlineStr">
        <is>
          <t>VAN (al 25%)</t>
        </is>
      </c>
      <c r="B28" s="29" t="n">
        <v>8751704</v>
      </c>
      <c r="C28" s="29" t="n">
        <v>5863332</v>
      </c>
    </row>
    <row r="29">
      <c r="A29" s="33" t="inlineStr">
        <is>
          <t>TIR</t>
        </is>
      </c>
      <c r="B29" s="34" t="n">
        <v>0.542</v>
      </c>
      <c r="C29" s="34" t="n">
        <v>0.77</v>
      </c>
    </row>
  </sheetData>
  <mergeCells count="5">
    <mergeCell ref="A25:C25"/>
    <mergeCell ref="A1:G1"/>
    <mergeCell ref="A18:G18"/>
    <mergeCell ref="A9:F9"/>
    <mergeCell ref="A3:C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2026-05-28T22:59:08Z</dcterms:created>
  <dcterms:modified xsi:type="dcterms:W3CDTF">2026-06-05T21:28:13Z</dcterms:modified>
  <cp:lastModifiedBy>JUAN JOSE GEYER GARRO</cp:lastModifiedBy>
</cp:coreProperties>
</file>